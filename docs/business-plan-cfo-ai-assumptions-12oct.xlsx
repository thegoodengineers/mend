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end controls" sheetId="1" r:id="rId1"/>
    <sheet name="Placeholder founder roster" sheetId="2" r:id="rId2"/>
    <sheet name="Measured repair cost breakdown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;(&quot;$&quot;#,##0)"/>
    <numFmt numFmtId="165" formatCode="#,##0.###;(#,##0.###)"/>
    <numFmt numFmtId="166" formatCode="#,##0.000;(#,##0.000)"/>
    <numFmt numFmtId="167" formatCode="&quot;$&quot;#,##0.00;(&quot;$&quot;#,##0.00)"/>
    <numFmt numFmtId="168" formatCode="0%"/>
    <numFmt numFmtId="169" formatCode="yyyy-mm-dd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Mend controls</t>
        </is>
      </c>
    </row>
    <row r="2" ht="20" customHeight="1">
      <c r="A2" t="inlineStr" s="2">
        <is>
          <t xml:space="preserve">Mend — Assumptions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Monthly team price</t>
        </is>
      </c>
      <c r="B5" s="6">
        <f>49</f>
        <v>49</v>
      </c>
    </row>
    <row r="6">
      <c r="A6" t="inlineStr" s="7">
        <is>
          <t xml:space="preserve">Included repair rounds</t>
        </is>
      </c>
      <c r="B6" s="8">
        <f>20</f>
        <v>20</v>
      </c>
    </row>
    <row r="7">
      <c r="A7" t="inlineStr" s="7">
        <is>
          <t xml:space="preserve">Included rounds used</t>
        </is>
      </c>
      <c r="B7" s="8">
        <f>20</f>
        <v>20</v>
      </c>
    </row>
    <row r="8">
      <c r="A8" t="inlineStr" s="7">
        <is>
          <t xml:space="preserve">Extra rounds per team</t>
        </is>
      </c>
      <c r="B8" s="8">
        <f>0</f>
        <v>0</v>
      </c>
    </row>
    <row r="9">
      <c r="A9" t="inlineStr" s="7">
        <is>
          <t xml:space="preserve">Extra round price</t>
        </is>
      </c>
      <c r="B9" s="8">
        <f>2</f>
        <v>2</v>
      </c>
    </row>
    <row r="10">
      <c r="A10" t="inlineStr" s="7">
        <is>
          <t xml:space="preserve">Fixed infrastructure</t>
        </is>
      </c>
      <c r="B10" s="8">
        <f>200</f>
        <v>200</v>
      </c>
    </row>
    <row r="11">
      <c r="A11" t="inlineStr" s="7">
        <is>
          <t xml:space="preserve">Haiku task fee</t>
        </is>
      </c>
      <c r="B11" s="9">
        <f>0.04</f>
        <v>0.04</v>
      </c>
    </row>
    <row r="12">
      <c r="A12" t="inlineStr" s="7">
        <is>
          <t xml:space="preserve">Opus task fee</t>
        </is>
      </c>
      <c r="B12" s="9">
        <f>0.045</f>
        <v>0.045</v>
      </c>
    </row>
    <row r="13">
      <c r="A13" t="inlineStr" s="7">
        <is>
          <t xml:space="preserve">Tasks per repair</t>
        </is>
      </c>
      <c r="B13" s="8">
        <f>28</f>
        <v>28</v>
      </c>
    </row>
    <row r="14">
      <c r="A14" t="inlineStr" s="7">
        <is>
          <t xml:space="preserve">Baseline repair cost</t>
        </is>
      </c>
      <c r="B14" s="10">
        <f>0.57</f>
        <v>0.57</v>
      </c>
    </row>
    <row r="15">
      <c r="A15" t="inlineStr" s="7">
        <is>
          <t xml:space="preserve">Opus task share</t>
        </is>
      </c>
      <c r="B15" s="11">
        <f>0</f>
        <v>0</v>
      </c>
    </row>
    <row r="16">
      <c r="A16" t="inlineStr" s="7">
        <is>
          <t xml:space="preserve">Starting teams</t>
        </is>
      </c>
      <c r="B16" s="8">
        <f>50</f>
        <v>50</v>
      </c>
    </row>
    <row r="17">
      <c r="A17" t="inlineStr" s="7">
        <is>
          <t xml:space="preserve">Net monthly customer growth</t>
        </is>
      </c>
      <c r="B17" s="11">
        <f>0</f>
        <v>0</v>
      </c>
    </row>
    <row r="18">
      <c r="A18" t="inlineStr" s="5">
        <is>
          <t xml:space="preserve">Starting cash</t>
        </is>
      </c>
      <c r="B18" s="12">
        <f>10000</f>
        <v>10000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C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</cols>
  <sheetData>
    <row r="1" ht="32" customHeight="1">
      <c r="A1" t="inlineStr" s="1">
        <is>
          <t xml:space="preserve">Placeholder founder roster</t>
        </is>
      </c>
    </row>
    <row r="2" ht="20" customHeight="1">
      <c r="A2" t="inlineStr" s="2">
        <is>
          <t xml:space="preserve">Mend — Assumptions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founder pay</t>
        </is>
      </c>
      <c r="C4" t="inlineStr" s="4">
        <is>
          <t xml:space="preserve">Founder pay starts</t>
        </is>
      </c>
    </row>
    <row r="5">
      <c r="A5" t="inlineStr" s="5">
        <is>
          <t xml:space="preserve">Placeholder founder 1</t>
        </is>
      </c>
      <c r="B5" s="13">
        <f>2000</f>
        <v>2000</v>
      </c>
      <c r="C5" s="14">
        <f>DATE(2027,4,1)</f>
        <v>46478</v>
      </c>
    </row>
    <row r="6">
      <c r="A6" t="inlineStr" s="7">
        <is>
          <t xml:space="preserve">Placeholder founder 2</t>
        </is>
      </c>
      <c r="B6" s="10">
        <f>2000</f>
        <v>2000</v>
      </c>
      <c r="C6" s="15">
        <f>DATE(2027,4,1)</f>
        <v>46478</v>
      </c>
    </row>
    <row r="7">
      <c r="A7" t="inlineStr" s="7">
        <is>
          <t xml:space="preserve">Placeholder founder 3</t>
        </is>
      </c>
      <c r="B7" s="10">
        <f>2000</f>
        <v>2000</v>
      </c>
      <c r="C7" s="15">
        <f>DATE(2027,4,1)</f>
        <v>46478</v>
      </c>
    </row>
    <row r="8">
      <c r="A8" t="inlineStr" s="5">
        <is>
          <t xml:space="preserve">Placeholder founder 4</t>
        </is>
      </c>
      <c r="B8" s="13">
        <f>2000</f>
        <v>2000</v>
      </c>
      <c r="C8" s="14">
        <f>DATE(2027,4,1)</f>
        <v>46478</v>
      </c>
    </row>
  </sheetData>
  <mergeCells count="1">
    <mergeCell ref="A1:C1"/>
  </mergeCells>
</worksheet>
</file>

<file path=xl/worksheets/sheet3.xml><?xml version="1.0" encoding="utf-8"?>
<worksheet xmlns="http://schemas.openxmlformats.org/spreadsheetml/2006/main">
  <dimension ref="A1:B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Measured repair cost breakdown</t>
        </is>
      </c>
    </row>
    <row r="2" ht="20" customHeight="1">
      <c r="A2" t="inlineStr" s="2">
        <is>
          <t xml:space="preserve">Mend — Assumptions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Measured supervisor diagnosis cost</t>
        </is>
      </c>
      <c r="B5" s="13">
        <f>0.13</f>
        <v>0.13</v>
      </c>
    </row>
    <row r="6">
      <c r="A6" t="inlineStr" s="5">
        <is>
          <t xml:space="preserve">Measured full rerun cost</t>
        </is>
      </c>
      <c r="B6" s="13">
        <f>0.44</f>
        <v>0.44</v>
      </c>
    </row>
  </sheetData>
  <mergeCells count="1">
    <mergeCell ref="A1:B1"/>
  </mergeCells>
</worksheet>
</file>