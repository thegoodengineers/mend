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Base versus Growth" sheetId="1" r:id="rId1"/>
    <sheet name="18-month forecast" sheetId="2" r:id="rId2"/>
    <sheet name="Model inputs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#,##0.0;(#,##0.0)"/>
    <numFmt numFmtId="165" formatCode="&quot;$&quot;#,##0.00;(&quot;$&quot;#,##0.00)"/>
    <numFmt numFmtId="166" formatCode="#,##0.###;(#,##0.###)"/>
    <numFmt numFmtId="167" formatCode="0.0%"/>
    <numFmt numFmtId="168" formatCode="yyyy-mm-dd"/>
    <numFmt numFmtId="169" formatCode="0%"/>
    <numFmt numFmtId="170" formatCode="#,##0.000;(#,##0.000)"/>
    <numFmt numFmtId="171" formatCode="&quot;$&quot;#,##0;(&quot;$&quot;#,##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4" borderId="1" xfId="0" applyFill="1" applyFont="1" applyBorder="1" applyAlignment="1">
      <alignment vertical="center" horizontal="right"/>
    </xf>
    <xf numFmtId="0" fontId="3" fillId="3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5" fontId="3" fillId="5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0" fontId="0" fillId="0" borderId="0" xfId="0" applyAlignment="1">
      <alignment vertical="center" horizontal="left" indent="1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166" fontId="3" fillId="5" borderId="1" xfId="0" applyNumberFormat="1" applyFill="1" applyFont="1" applyBorder="1" applyAlignment="1">
      <alignment vertical="center" horizontal="right"/>
    </xf>
    <xf numFmtId="0" fontId="0" fillId="6" borderId="0" xfId="0" applyFill="1" applyAlignment="1">
      <alignment vertical="center" horizontal="left" indent="1"/>
    </xf>
    <xf numFmtId="168" fontId="0" fillId="0" borderId="0" xfId="0" applyNumberFormat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64" fontId="0" fillId="0" borderId="0" xfId="0" applyNumberFormat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171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AK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</cols>
  <sheetData>
    <row r="1" ht="32" customHeight="1">
      <c r="A1" t="inlineStr" s="1">
        <is>
          <t xml:space="preserve">Base versus Growth</t>
        </is>
      </c>
    </row>
    <row r="2" ht="20" customHeight="1">
      <c r="A2" t="inlineStr" s="2">
        <is>
          <t xml:space="preserve">Mend — Forecast and runway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4">
        <is>
          <t xml:space="preserve">2026-10 &gt; Growth</t>
        </is>
      </c>
      <c r="D4" t="inlineStr" s="5">
        <is>
          <t xml:space="preserve">2026-11</t>
        </is>
      </c>
      <c r="E4" t="inlineStr" s="5">
        <is>
          <t xml:space="preserve">2026-11 &gt; Growth</t>
        </is>
      </c>
      <c r="F4" t="inlineStr" s="5">
        <is>
          <t xml:space="preserve">2026-12</t>
        </is>
      </c>
      <c r="G4" t="inlineStr" s="5">
        <is>
          <t xml:space="preserve">2026-12 &gt; Growth</t>
        </is>
      </c>
      <c r="H4" t="inlineStr" s="4">
        <is>
          <t xml:space="preserve">2027-01</t>
        </is>
      </c>
      <c r="I4" t="inlineStr" s="4">
        <is>
          <t xml:space="preserve">2027-01 &gt; Growth</t>
        </is>
      </c>
      <c r="J4" t="inlineStr" s="5">
        <is>
          <t xml:space="preserve">2027-02</t>
        </is>
      </c>
      <c r="K4" t="inlineStr" s="5">
        <is>
          <t xml:space="preserve">2027-02 &gt; Growth</t>
        </is>
      </c>
      <c r="L4" t="inlineStr" s="5">
        <is>
          <t xml:space="preserve">2027-03</t>
        </is>
      </c>
      <c r="M4" t="inlineStr" s="5">
        <is>
          <t xml:space="preserve">2027-03 &gt; Growth</t>
        </is>
      </c>
      <c r="N4" t="inlineStr" s="4">
        <is>
          <t xml:space="preserve">2027-04</t>
        </is>
      </c>
      <c r="O4" t="inlineStr" s="4">
        <is>
          <t xml:space="preserve">2027-04 &gt; Growth</t>
        </is>
      </c>
      <c r="P4" t="inlineStr" s="5">
        <is>
          <t xml:space="preserve">2027-05</t>
        </is>
      </c>
      <c r="Q4" t="inlineStr" s="5">
        <is>
          <t xml:space="preserve">2027-05 &gt; Growth</t>
        </is>
      </c>
      <c r="R4" t="inlineStr" s="5">
        <is>
          <t xml:space="preserve">2027-06</t>
        </is>
      </c>
      <c r="S4" t="inlineStr" s="5">
        <is>
          <t xml:space="preserve">2027-06 &gt; Growth</t>
        </is>
      </c>
      <c r="T4" t="inlineStr" s="4">
        <is>
          <t xml:space="preserve">2027-07</t>
        </is>
      </c>
      <c r="U4" t="inlineStr" s="4">
        <is>
          <t xml:space="preserve">2027-07 &gt; Growth</t>
        </is>
      </c>
      <c r="V4" t="inlineStr" s="5">
        <is>
          <t xml:space="preserve">2027-08</t>
        </is>
      </c>
      <c r="W4" t="inlineStr" s="5">
        <is>
          <t xml:space="preserve">2027-08 &gt; Growth</t>
        </is>
      </c>
      <c r="X4" t="inlineStr" s="5">
        <is>
          <t xml:space="preserve">2027-09</t>
        </is>
      </c>
      <c r="Y4" t="inlineStr" s="5">
        <is>
          <t xml:space="preserve">2027-09 &gt; Growth</t>
        </is>
      </c>
      <c r="Z4" t="inlineStr" s="4">
        <is>
          <t xml:space="preserve">2027-10</t>
        </is>
      </c>
      <c r="AA4" t="inlineStr" s="4">
        <is>
          <t xml:space="preserve">2027-10 &gt; Growth</t>
        </is>
      </c>
      <c r="AB4" t="inlineStr" s="5">
        <is>
          <t xml:space="preserve">2027-11</t>
        </is>
      </c>
      <c r="AC4" t="inlineStr" s="5">
        <is>
          <t xml:space="preserve">2027-11 &gt; Growth</t>
        </is>
      </c>
      <c r="AD4" t="inlineStr" s="5">
        <is>
          <t xml:space="preserve">2027-12</t>
        </is>
      </c>
      <c r="AE4" t="inlineStr" s="5">
        <is>
          <t xml:space="preserve">2027-12 &gt; Growth</t>
        </is>
      </c>
      <c r="AF4" t="inlineStr" s="4">
        <is>
          <t xml:space="preserve">2028-01</t>
        </is>
      </c>
      <c r="AG4" t="inlineStr" s="4">
        <is>
          <t xml:space="preserve">2028-01 &gt; Growth</t>
        </is>
      </c>
      <c r="AH4" t="inlineStr" s="5">
        <is>
          <t xml:space="preserve">2028-02</t>
        </is>
      </c>
      <c r="AI4" t="inlineStr" s="5">
        <is>
          <t xml:space="preserve">2028-02 &gt; Growth</t>
        </is>
      </c>
      <c r="AJ4" t="inlineStr" s="5">
        <is>
          <t xml:space="preserve">2028-03</t>
        </is>
      </c>
      <c r="AK4" t="inlineStr" s="5">
        <is>
          <t xml:space="preserve">2028-03 &gt; Growth</t>
        </is>
      </c>
    </row>
    <row r="5">
      <c r="A5" t="inlineStr" s="6">
        <is>
          <t xml:space="preserve">Paying teams</t>
        </is>
      </c>
      <c r="B5" s="7">
        <f>IF('Model inputs'!U40="","",'Model inputs'!U40)</f>
        <v>50</v>
      </c>
      <c r="C5" s="7">
        <f>IF('Model inputs'!U41="","",'Model inputs'!U41)</f>
        <v>50</v>
      </c>
      <c r="D5" s="7">
        <f>'Base versus Growth'!B5*(1+'Model inputs'!U30)</f>
        <v>50</v>
      </c>
      <c r="E5" s="7">
        <f>'Base versus Growth'!C5*(1+'Model inputs'!U31)</f>
        <v>55.00000000000001</v>
      </c>
      <c r="F5" s="7">
        <f>'Base versus Growth'!D5*(1+'Model inputs'!U30)</f>
        <v>50</v>
      </c>
      <c r="G5" s="7">
        <f>'Base versus Growth'!E5*(1+'Model inputs'!U31)</f>
        <v>60.500000000000014</v>
      </c>
      <c r="H5" s="7">
        <f>'Base versus Growth'!F5*(1+'Model inputs'!U30)</f>
        <v>50</v>
      </c>
      <c r="I5" s="7">
        <f>'Base versus Growth'!G5*(1+'Model inputs'!U31)</f>
        <v>66.55000000000003</v>
      </c>
      <c r="J5" s="7">
        <f>'Base versus Growth'!H5*(1+'Model inputs'!U30)</f>
        <v>50</v>
      </c>
      <c r="K5" s="7">
        <f>'Base versus Growth'!I5*(1+'Model inputs'!U31)</f>
        <v>73.20500000000004</v>
      </c>
      <c r="L5" s="7">
        <f>'Base versus Growth'!J5*(1+'Model inputs'!U30)</f>
        <v>50</v>
      </c>
      <c r="M5" s="7">
        <f>'Base versus Growth'!K5*(1+'Model inputs'!U31)</f>
        <v>80.52550000000005</v>
      </c>
      <c r="N5" s="7">
        <f>'Base versus Growth'!L5*(1+'Model inputs'!U30)</f>
        <v>50</v>
      </c>
      <c r="O5" s="7">
        <f>'Base versus Growth'!M5*(1+'Model inputs'!U31)</f>
        <v>88.57805000000006</v>
      </c>
      <c r="P5" s="7">
        <f>'Base versus Growth'!N5*(1+'Model inputs'!U30)</f>
        <v>50</v>
      </c>
      <c r="Q5" s="7">
        <f>'Base versus Growth'!O5*(1+'Model inputs'!U31)</f>
        <v>97.43585500000007</v>
      </c>
      <c r="R5" s="7">
        <f>'Base versus Growth'!P5*(1+'Model inputs'!U30)</f>
        <v>50</v>
      </c>
      <c r="S5" s="7">
        <f>'Base versus Growth'!Q5*(1+'Model inputs'!U31)</f>
        <v>107.1794405000001</v>
      </c>
      <c r="T5" s="7">
        <f>'Base versus Growth'!R5*(1+'Model inputs'!U30)</f>
        <v>50</v>
      </c>
      <c r="U5" s="7">
        <f>'Base versus Growth'!S5*(1+'Model inputs'!U31)</f>
        <v>117.89738455000011</v>
      </c>
      <c r="V5" s="7">
        <f>'Base versus Growth'!T5*(1+'Model inputs'!U30)</f>
        <v>50</v>
      </c>
      <c r="W5" s="7">
        <f>'Base versus Growth'!U5*(1+'Model inputs'!U31)</f>
        <v>129.68712300500013</v>
      </c>
      <c r="X5" s="7">
        <f>'Base versus Growth'!V5*(1+'Model inputs'!U30)</f>
        <v>50</v>
      </c>
      <c r="Y5" s="7">
        <f>'Base versus Growth'!W5*(1+'Model inputs'!U31)</f>
        <v>142.65583530550015</v>
      </c>
      <c r="Z5" s="7">
        <f>'Base versus Growth'!X5*(1+'Model inputs'!U30)</f>
        <v>50</v>
      </c>
      <c r="AA5" s="7">
        <f>'Base versus Growth'!Y5*(1+'Model inputs'!U31)</f>
        <v>156.92141883605018</v>
      </c>
      <c r="AB5" s="7">
        <f>'Base versus Growth'!Z5*(1+'Model inputs'!U30)</f>
        <v>50</v>
      </c>
      <c r="AC5" s="7">
        <f>'Base versus Growth'!AA5*(1+'Model inputs'!U31)</f>
        <v>172.6135607196552</v>
      </c>
      <c r="AD5" s="7">
        <f>'Base versus Growth'!AB5*(1+'Model inputs'!U30)</f>
        <v>50</v>
      </c>
      <c r="AE5" s="7">
        <f>'Base versus Growth'!AC5*(1+'Model inputs'!U31)</f>
        <v>189.87491679162073</v>
      </c>
      <c r="AF5" s="7">
        <f>'Base versus Growth'!AD5*(1+'Model inputs'!U30)</f>
        <v>50</v>
      </c>
      <c r="AG5" s="7">
        <f>'Base versus Growth'!AE5*(1+'Model inputs'!U31)</f>
        <v>208.8624084707828</v>
      </c>
      <c r="AH5" s="7">
        <f>'Base versus Growth'!AF5*(1+'Model inputs'!U30)</f>
        <v>50</v>
      </c>
      <c r="AI5" s="7">
        <f>'Base versus Growth'!AG5*(1+'Model inputs'!U31)</f>
        <v>229.74864931786112</v>
      </c>
      <c r="AJ5" s="7">
        <f>'Base versus Growth'!AH5*(1+'Model inputs'!U30)</f>
        <v>50</v>
      </c>
      <c r="AK5" s="7">
        <f>'Base versus Growth'!AI5*(1+'Model inputs'!U31)</f>
        <v>252.72351424964725</v>
      </c>
    </row>
    <row r="6">
      <c r="A6" t="inlineStr" s="8">
        <is>
          <t xml:space="preserve">Monthly revenue</t>
        </is>
      </c>
      <c r="B6" s="9">
        <f>'Base versus Growth'!B5*'Model inputs'!U35</f>
        <v>2450</v>
      </c>
      <c r="C6" s="9">
        <f>'Base versus Growth'!C5*'Model inputs'!U36</f>
        <v>2450</v>
      </c>
      <c r="D6" s="9">
        <f>'Base versus Growth'!D5*'Model inputs'!U35</f>
        <v>2450</v>
      </c>
      <c r="E6" s="9">
        <f>'Base versus Growth'!E5*'Model inputs'!U36</f>
        <v>2695.0000000000005</v>
      </c>
      <c r="F6" s="9">
        <f>'Base versus Growth'!F5*'Model inputs'!U35</f>
        <v>2450</v>
      </c>
      <c r="G6" s="9">
        <f>'Base versus Growth'!G5*'Model inputs'!U36</f>
        <v>2964.500000000001</v>
      </c>
      <c r="H6" s="9">
        <f>'Base versus Growth'!H5*'Model inputs'!U35</f>
        <v>2450</v>
      </c>
      <c r="I6" s="9">
        <f>'Base versus Growth'!I5*'Model inputs'!U36</f>
        <v>3260.950000000001</v>
      </c>
      <c r="J6" s="9">
        <f>'Base versus Growth'!J5*'Model inputs'!U35</f>
        <v>2450</v>
      </c>
      <c r="K6" s="9">
        <f>'Base versus Growth'!K5*'Model inputs'!U36</f>
        <v>3587.045000000002</v>
      </c>
      <c r="L6" s="9">
        <f>'Base versus Growth'!L5*'Model inputs'!U35</f>
        <v>2450</v>
      </c>
      <c r="M6" s="9">
        <f>'Base versus Growth'!M5*'Model inputs'!U36</f>
        <v>3945.7495000000026</v>
      </c>
      <c r="N6" s="9">
        <f>'Base versus Growth'!N5*'Model inputs'!U35</f>
        <v>2450</v>
      </c>
      <c r="O6" s="9">
        <f>'Base versus Growth'!O5*'Model inputs'!U36</f>
        <v>4340.324450000003</v>
      </c>
      <c r="P6" s="9">
        <f>'Base versus Growth'!P5*'Model inputs'!U35</f>
        <v>2450</v>
      </c>
      <c r="Q6" s="9">
        <f>'Base versus Growth'!Q5*'Model inputs'!U36</f>
        <v>4774.3568950000035</v>
      </c>
      <c r="R6" s="9">
        <f>'Base versus Growth'!R5*'Model inputs'!U35</f>
        <v>2450</v>
      </c>
      <c r="S6" s="9">
        <f>'Base versus Growth'!S5*'Model inputs'!U36</f>
        <v>5251.7925845000045</v>
      </c>
      <c r="T6" s="9">
        <f>'Base versus Growth'!T5*'Model inputs'!U35</f>
        <v>2450</v>
      </c>
      <c r="U6" s="9">
        <f>'Base versus Growth'!U5*'Model inputs'!U36</f>
        <v>5776.971842950005</v>
      </c>
      <c r="V6" s="9">
        <f>'Base versus Growth'!V5*'Model inputs'!U35</f>
        <v>2450</v>
      </c>
      <c r="W6" s="9">
        <f>'Base versus Growth'!W5*'Model inputs'!U36</f>
        <v>6354.669027245007</v>
      </c>
      <c r="X6" s="9">
        <f>'Base versus Growth'!X5*'Model inputs'!U35</f>
        <v>2450</v>
      </c>
      <c r="Y6" s="9">
        <f>'Base versus Growth'!Y5*'Model inputs'!U36</f>
        <v>6990.135929969507</v>
      </c>
      <c r="Z6" s="9">
        <f>'Base versus Growth'!Z5*'Model inputs'!U35</f>
        <v>2450</v>
      </c>
      <c r="AA6" s="9">
        <f>'Base versus Growth'!AA5*'Model inputs'!U36</f>
        <v>7689.149522966459</v>
      </c>
      <c r="AB6" s="9">
        <f>'Base versus Growth'!AB5*'Model inputs'!U35</f>
        <v>2450</v>
      </c>
      <c r="AC6" s="9">
        <f>'Base versus Growth'!AC5*'Model inputs'!U36</f>
        <v>8458.064475263105</v>
      </c>
      <c r="AD6" s="9">
        <f>'Base versus Growth'!AD5*'Model inputs'!U35</f>
        <v>2450</v>
      </c>
      <c r="AE6" s="9">
        <f>'Base versus Growth'!AE5*'Model inputs'!U36</f>
        <v>9303.870922789416</v>
      </c>
      <c r="AF6" s="9">
        <f>'Base versus Growth'!AF5*'Model inputs'!U35</f>
        <v>2450</v>
      </c>
      <c r="AG6" s="9">
        <f>'Base versus Growth'!AG5*'Model inputs'!U36</f>
        <v>10234.258015068357</v>
      </c>
      <c r="AH6" s="9">
        <f>'Base versus Growth'!AH5*'Model inputs'!U35</f>
        <v>2450</v>
      </c>
      <c r="AI6" s="9">
        <f>'Base versus Growth'!AI5*'Model inputs'!U36</f>
        <v>11257.683816575194</v>
      </c>
      <c r="AJ6" s="9">
        <f>'Base versus Growth'!AJ5*'Model inputs'!U35</f>
        <v>2450</v>
      </c>
      <c r="AK6" s="9">
        <f>'Base versus Growth'!AK5*'Model inputs'!U36</f>
        <v>12383.452198232715</v>
      </c>
    </row>
    <row r="7">
      <c r="A7" t="inlineStr" s="8">
        <is>
          <t xml:space="preserve">Gross margin</t>
        </is>
      </c>
      <c r="B7" s="10">
        <f>IFERROR('18-month forecast'!B11/'Base versus Growth'!B6,"")</f>
        <v>0.30612244897959184</v>
      </c>
      <c r="C7" s="10">
        <f>IFERROR('Model inputs'!C21/'Base versus Growth'!C6,"")</f>
        <v>0.30612244897959184</v>
      </c>
      <c r="D7" s="10">
        <f>IFERROR('18-month forecast'!C11/'Base versus Growth'!D6,"")</f>
        <v>0.30612244897959184</v>
      </c>
      <c r="E7" s="10">
        <f>IFERROR('Model inputs'!D21/'Base versus Growth'!E6,"")</f>
        <v>0.31354359925788494</v>
      </c>
      <c r="F7" s="10">
        <f>IFERROR('18-month forecast'!D11/'Base versus Growth'!F6,"")</f>
        <v>0.30612244897959184</v>
      </c>
      <c r="G7" s="10">
        <f>IFERROR('Model inputs'!E21/'Base versus Growth'!G6,"")</f>
        <v>0.3202900995108788</v>
      </c>
      <c r="H7" s="10">
        <f>IFERROR('18-month forecast'!E11/'Base versus Growth'!H6,"")</f>
        <v>0.30612244897959184</v>
      </c>
      <c r="I7" s="10">
        <f>IFERROR('Model inputs'!F21/'Base versus Growth'!I6,"")</f>
        <v>0.32642328155905487</v>
      </c>
      <c r="J7" s="10">
        <f>IFERROR('18-month forecast'!F11/'Base versus Growth'!J6,"")</f>
        <v>0.30612244897959184</v>
      </c>
      <c r="K7" s="10">
        <f>IFERROR('Model inputs'!G21/'Base versus Growth'!K6,"")</f>
        <v>0.33199890160285134</v>
      </c>
      <c r="L7" s="10">
        <f>IFERROR('18-month forecast'!G11/'Base versus Growth'!L6,"")</f>
        <v>0.30612244897959184</v>
      </c>
      <c r="M7" s="10">
        <f>IFERROR('Model inputs'!H21/'Base versus Growth'!M6,"")</f>
        <v>0.3370676470972118</v>
      </c>
      <c r="N7" s="10">
        <f>IFERROR('18-month forecast'!H11/'Base versus Growth'!N6,"")</f>
        <v>0.30612244897959184</v>
      </c>
      <c r="O7" s="10">
        <f>IFERROR('Model inputs'!I21/'Base versus Growth'!O6,"")</f>
        <v>0.3416755975466304</v>
      </c>
      <c r="P7" s="10">
        <f>IFERROR('18-month forecast'!I11/'Base versus Growth'!P6,"")</f>
        <v>0.30612244897959184</v>
      </c>
      <c r="Q7" s="10">
        <f>IFERROR('Model inputs'!J21/'Base versus Growth'!Q6,"")</f>
        <v>0.34586464340973827</v>
      </c>
      <c r="R7" s="10">
        <f>IFERROR('18-month forecast'!J11/'Base versus Growth'!R6,"")</f>
        <v>0.30612244897959184</v>
      </c>
      <c r="S7" s="10">
        <f>IFERROR('Model inputs'!K21/'Base versus Growth'!S6,"")</f>
        <v>0.3496728669216544</v>
      </c>
      <c r="T7" s="10">
        <f>IFERROR('18-month forecast'!K11/'Base versus Growth'!T6,"")</f>
        <v>0.30612244897959184</v>
      </c>
      <c r="U7" s="10">
        <f>IFERROR('Model inputs'!L21/'Base versus Growth'!U6,"")</f>
        <v>0.3531348882961237</v>
      </c>
      <c r="V7" s="10">
        <f>IFERROR('18-month forecast'!L11/'Base versus Growth'!V6,"")</f>
        <v>0.30612244897959184</v>
      </c>
      <c r="W7" s="10">
        <f>IFERROR('Model inputs'!M21/'Base versus Growth'!W6,"")</f>
        <v>0.35628218045473214</v>
      </c>
      <c r="X7" s="10">
        <f>IFERROR('18-month forecast'!M11/'Base versus Growth'!X6,"")</f>
        <v>0.30612244897959184</v>
      </c>
      <c r="Y7" s="10">
        <f>IFERROR('Model inputs'!N21/'Base versus Growth'!Y6,"")</f>
        <v>0.359143355144376</v>
      </c>
      <c r="Z7" s="10">
        <f>IFERROR('18-month forecast'!N11/'Base versus Growth'!Z6,"")</f>
        <v>0.30612244897959184</v>
      </c>
      <c r="AA7" s="10">
        <f>IFERROR('Model inputs'!O21/'Base versus Growth'!AA6,"")</f>
        <v>0.3617444230440525</v>
      </c>
      <c r="AB7" s="10">
        <f>IFERROR('18-month forecast'!O11/'Base versus Growth'!AB6,"")</f>
        <v>0.30612244897959184</v>
      </c>
      <c r="AC7" s="10">
        <f>IFERROR('Model inputs'!P21/'Base versus Growth'!AC6,"")</f>
        <v>0.36410903022557656</v>
      </c>
      <c r="AD7" s="10">
        <f>IFERROR('18-month forecast'!P11/'Base versus Growth'!AD6,"")</f>
        <v>0.30612244897959184</v>
      </c>
      <c r="AE7" s="10">
        <f>IFERROR('Model inputs'!Q21/'Base versus Growth'!AE6,"")</f>
        <v>0.3662586731178711</v>
      </c>
      <c r="AF7" s="10">
        <f>IFERROR('18-month forecast'!Q11/'Base versus Growth'!AF6,"")</f>
        <v>0.30612244897959184</v>
      </c>
      <c r="AG7" s="10">
        <f>IFERROR('Model inputs'!R21/'Base versus Growth'!AG6,"")</f>
        <v>0.3682128939290479</v>
      </c>
      <c r="AH7" s="10">
        <f>IFERROR('18-month forecast'!R11/'Base versus Growth'!AH6,"")</f>
        <v>0.30612244897959184</v>
      </c>
      <c r="AI7" s="10">
        <f>IFERROR('Model inputs'!S21/'Base versus Growth'!AI6,"")</f>
        <v>0.3699894583028449</v>
      </c>
      <c r="AJ7" s="10">
        <f>IFERROR('18-month forecast'!S11/'Base versus Growth'!AJ6,"")</f>
        <v>0.30612244897959184</v>
      </c>
      <c r="AK7" s="10">
        <f>IFERROR('Model inputs'!T21/'Base versus Growth'!AK6,"")</f>
        <v>0.3716045168244787</v>
      </c>
    </row>
    <row r="8">
      <c r="A8" t="inlineStr" s="8">
        <is>
          <t xml:space="preserve">Net cash flow</t>
        </is>
      </c>
      <c r="B8" s="9">
        <f>'18-month forecast'!B11-'18-month forecast'!B13</f>
        <v>750</v>
      </c>
      <c r="C8" s="9">
        <f>'Model inputs'!C21-'Model inputs'!C19</f>
        <v>750</v>
      </c>
      <c r="D8" s="9">
        <f>'18-month forecast'!C11-'18-month forecast'!C13</f>
        <v>750</v>
      </c>
      <c r="E8" s="9">
        <f>'Model inputs'!D21-'Model inputs'!D19</f>
        <v>845</v>
      </c>
      <c r="F8" s="9">
        <f>'18-month forecast'!D11-'18-month forecast'!D13</f>
        <v>750</v>
      </c>
      <c r="G8" s="9">
        <f>'Model inputs'!E21-'Model inputs'!E19</f>
        <v>949.5000000000005</v>
      </c>
      <c r="H8" s="9">
        <f>'18-month forecast'!E11-'18-month forecast'!E13</f>
        <v>750</v>
      </c>
      <c r="I8" s="9">
        <f>'Model inputs'!F21-'Model inputs'!F19</f>
        <v>1064.4500000000003</v>
      </c>
      <c r="J8" s="9">
        <f>'18-month forecast'!F11-'18-month forecast'!F13</f>
        <v>750</v>
      </c>
      <c r="K8" s="9">
        <f>'Model inputs'!G21-'Model inputs'!G19</f>
        <v>1190.8950000000004</v>
      </c>
      <c r="L8" s="9">
        <f>'18-month forecast'!G11-'18-month forecast'!G13</f>
        <v>750</v>
      </c>
      <c r="M8" s="9">
        <f>'Model inputs'!H21-'Model inputs'!H19</f>
        <v>1329.984500000001</v>
      </c>
      <c r="N8" s="9">
        <f>'18-month forecast'!H11-'18-month forecast'!H13</f>
        <v>-7250</v>
      </c>
      <c r="O8" s="9">
        <f>'Model inputs'!I21-'Model inputs'!I19</f>
        <v>-6517.017049999999</v>
      </c>
      <c r="P8" s="9">
        <f>'18-month forecast'!I11-'18-month forecast'!I13</f>
        <v>-7250</v>
      </c>
      <c r="Q8" s="9">
        <f>'Model inputs'!J21-'Model inputs'!J19</f>
        <v>-6348.718754999998</v>
      </c>
      <c r="R8" s="9">
        <f>'18-month forecast'!J11-'18-month forecast'!J13</f>
        <v>-7250</v>
      </c>
      <c r="S8" s="9">
        <f>'Model inputs'!K21-'Model inputs'!K19</f>
        <v>-6163.590630499999</v>
      </c>
      <c r="T8" s="9">
        <f>'18-month forecast'!K11-'18-month forecast'!K13</f>
        <v>-7250</v>
      </c>
      <c r="U8" s="9">
        <f>'Model inputs'!L21-'Model inputs'!L19</f>
        <v>-5959.949693549997</v>
      </c>
      <c r="V8" s="9">
        <f>'18-month forecast'!L11-'18-month forecast'!L13</f>
        <v>-7250</v>
      </c>
      <c r="W8" s="9">
        <f>'Model inputs'!M21-'Model inputs'!M19</f>
        <v>-5735.944662904997</v>
      </c>
      <c r="X8" s="9">
        <f>'18-month forecast'!M11-'18-month forecast'!M13</f>
        <v>-7250</v>
      </c>
      <c r="Y8" s="9">
        <f>'Model inputs'!N21-'Model inputs'!N19</f>
        <v>-5489.539129195498</v>
      </c>
      <c r="Z8" s="9">
        <f>'18-month forecast'!N11-'18-month forecast'!N13</f>
        <v>-7250</v>
      </c>
      <c r="AA8" s="9">
        <f>'Model inputs'!O21-'Model inputs'!O19</f>
        <v>-5218.493042115047</v>
      </c>
      <c r="AB8" s="9">
        <f>'18-month forecast'!O11-'18-month forecast'!O13</f>
        <v>-7250</v>
      </c>
      <c r="AC8" s="9">
        <f>'Model inputs'!P21-'Model inputs'!P19</f>
        <v>-4920.342346326551</v>
      </c>
      <c r="AD8" s="9">
        <f>'18-month forecast'!P11-'18-month forecast'!P13</f>
        <v>-7250</v>
      </c>
      <c r="AE8" s="9">
        <f>'Model inputs'!Q21-'Model inputs'!Q19</f>
        <v>-4592.376580959206</v>
      </c>
      <c r="AF8" s="9">
        <f>'18-month forecast'!Q11-'18-month forecast'!Q13</f>
        <v>-7250</v>
      </c>
      <c r="AG8" s="9">
        <f>'Model inputs'!R21-'Model inputs'!R19</f>
        <v>-4231.614239055127</v>
      </c>
      <c r="AH8" s="9">
        <f>'18-month forecast'!R11-'18-month forecast'!R13</f>
        <v>-7250</v>
      </c>
      <c r="AI8" s="9">
        <f>'Model inputs'!S21-'Model inputs'!S19</f>
        <v>-3834.77566296064</v>
      </c>
      <c r="AJ8" s="9">
        <f>'18-month forecast'!S11-'18-month forecast'!S13</f>
        <v>-7250</v>
      </c>
      <c r="AK8" s="9">
        <f>'Model inputs'!T21-'Model inputs'!T19</f>
        <v>-3398.253229256703</v>
      </c>
    </row>
    <row r="9">
      <c r="A9" t="inlineStr" s="6">
        <is>
          <t xml:space="preserve">Closing cash</t>
        </is>
      </c>
      <c r="B9" s="11">
        <f>IF(IF(DATE(2026,10,1)=DATE(2026,10,1),IF('Model inputs'!U38="","",'Model inputs'!U38),IF('Model inputs'!B6="","",'Model inputs'!B6))="",0,IF(DATE(2026,10,1)=DATE(2026,10,1),IF('Model inputs'!U38="","",'Model inputs'!U38),IF('Model inputs'!B6="","",'Model inputs'!B6)))+'Base versus Growth'!B8</f>
        <v>10750</v>
      </c>
      <c r="C9" s="11">
        <f>IF(IF(DATE(2026,10,1)=DATE(2026,10,1),IF('Model inputs'!U39="","",'Model inputs'!U39),IF('Model inputs'!B7="","",'Model inputs'!B7))="",0,IF(DATE(2026,10,1)=DATE(2026,10,1),IF('Model inputs'!U39="","",'Model inputs'!U39),IF('Model inputs'!B7="","",'Model inputs'!B7)))+'Base versus Growth'!C8</f>
        <v>10750</v>
      </c>
      <c r="D9" s="11">
        <f>IF(IF(DATE(2026,11,1)=DATE(2026,10,1),IF('Model inputs'!U38="","",'Model inputs'!U38),IF('Base versus Growth'!B9="","",'Base versus Growth'!B9))="",0,IF(DATE(2026,11,1)=DATE(2026,10,1),IF('Model inputs'!U38="","",'Model inputs'!U38),IF('Base versus Growth'!B9="","",'Base versus Growth'!B9)))+'Base versus Growth'!D8</f>
        <v>11500</v>
      </c>
      <c r="E9" s="11">
        <f>IF(IF(DATE(2026,11,1)=DATE(2026,10,1),IF('Model inputs'!U39="","",'Model inputs'!U39),IF('Base versus Growth'!C9="","",'Base versus Growth'!C9))="",0,IF(DATE(2026,11,1)=DATE(2026,10,1),IF('Model inputs'!U39="","",'Model inputs'!U39),IF('Base versus Growth'!C9="","",'Base versus Growth'!C9)))+'Base versus Growth'!E8</f>
        <v>11595</v>
      </c>
      <c r="F9" s="11">
        <f>IF(IF(DATE(2026,12,1)=DATE(2026,10,1),IF('Model inputs'!U38="","",'Model inputs'!U38),IF('Base versus Growth'!D9="","",'Base versus Growth'!D9))="",0,IF(DATE(2026,12,1)=DATE(2026,10,1),IF('Model inputs'!U38="","",'Model inputs'!U38),IF('Base versus Growth'!D9="","",'Base versus Growth'!D9)))+'Base versus Growth'!F8</f>
        <v>12250</v>
      </c>
      <c r="G9" s="11">
        <f>IF(IF(DATE(2026,12,1)=DATE(2026,10,1),IF('Model inputs'!U39="","",'Model inputs'!U39),IF('Base versus Growth'!E9="","",'Base versus Growth'!E9))="",0,IF(DATE(2026,12,1)=DATE(2026,10,1),IF('Model inputs'!U39="","",'Model inputs'!U39),IF('Base versus Growth'!E9="","",'Base versus Growth'!E9)))+'Base versus Growth'!G8</f>
        <v>12544.5</v>
      </c>
      <c r="H9" s="11">
        <f>IF(IF(DATE(2027,1,1)=DATE(2026,10,1),IF('Model inputs'!U38="","",'Model inputs'!U38),IF('Base versus Growth'!F9="","",'Base versus Growth'!F9))="",0,IF(DATE(2027,1,1)=DATE(2026,10,1),IF('Model inputs'!U38="","",'Model inputs'!U38),IF('Base versus Growth'!F9="","",'Base versus Growth'!F9)))+'Base versus Growth'!H8</f>
        <v>13000</v>
      </c>
      <c r="I9" s="11">
        <f>IF(IF(DATE(2027,1,1)=DATE(2026,10,1),IF('Model inputs'!U39="","",'Model inputs'!U39),IF('Base versus Growth'!G9="","",'Base versus Growth'!G9))="",0,IF(DATE(2027,1,1)=DATE(2026,10,1),IF('Model inputs'!U39="","",'Model inputs'!U39),IF('Base versus Growth'!G9="","",'Base versus Growth'!G9)))+'Base versus Growth'!I8</f>
        <v>13608.95</v>
      </c>
      <c r="J9" s="11">
        <f>IF(IF(DATE(2027,2,1)=DATE(2026,10,1),IF('Model inputs'!U38="","",'Model inputs'!U38),IF('Base versus Growth'!H9="","",'Base versus Growth'!H9))="",0,IF(DATE(2027,2,1)=DATE(2026,10,1),IF('Model inputs'!U38="","",'Model inputs'!U38),IF('Base versus Growth'!H9="","",'Base versus Growth'!H9)))+'Base versus Growth'!J8</f>
        <v>13750</v>
      </c>
      <c r="K9" s="11">
        <f>IF(IF(DATE(2027,2,1)=DATE(2026,10,1),IF('Model inputs'!U39="","",'Model inputs'!U39),IF('Base versus Growth'!I9="","",'Base versus Growth'!I9))="",0,IF(DATE(2027,2,1)=DATE(2026,10,1),IF('Model inputs'!U39="","",'Model inputs'!U39),IF('Base versus Growth'!I9="","",'Base versus Growth'!I9)))+'Base versus Growth'!K8</f>
        <v>14799.845000000001</v>
      </c>
      <c r="L9" s="11">
        <f>IF(IF(DATE(2027,3,1)=DATE(2026,10,1),IF('Model inputs'!U38="","",'Model inputs'!U38),IF('Base versus Growth'!J9="","",'Base versus Growth'!J9))="",0,IF(DATE(2027,3,1)=DATE(2026,10,1),IF('Model inputs'!U38="","",'Model inputs'!U38),IF('Base versus Growth'!J9="","",'Base versus Growth'!J9)))+'Base versus Growth'!L8</f>
        <v>14500</v>
      </c>
      <c r="M9" s="11">
        <f>IF(IF(DATE(2027,3,1)=DATE(2026,10,1),IF('Model inputs'!U39="","",'Model inputs'!U39),IF('Base versus Growth'!K9="","",'Base versus Growth'!K9))="",0,IF(DATE(2027,3,1)=DATE(2026,10,1),IF('Model inputs'!U39="","",'Model inputs'!U39),IF('Base versus Growth'!K9="","",'Base versus Growth'!K9)))+'Base versus Growth'!M8</f>
        <v>16129.829500000002</v>
      </c>
      <c r="N9" s="11">
        <f>IF(IF(DATE(2027,4,1)=DATE(2026,10,1),IF('Model inputs'!U38="","",'Model inputs'!U38),IF('Base versus Growth'!L9="","",'Base versus Growth'!L9))="",0,IF(DATE(2027,4,1)=DATE(2026,10,1),IF('Model inputs'!U38="","",'Model inputs'!U38),IF('Base versus Growth'!L9="","",'Base versus Growth'!L9)))+'Base versus Growth'!N8</f>
        <v>7250</v>
      </c>
      <c r="O9" s="11">
        <f>IF(IF(DATE(2027,4,1)=DATE(2026,10,1),IF('Model inputs'!U39="","",'Model inputs'!U39),IF('Base versus Growth'!M9="","",'Base versus Growth'!M9))="",0,IF(DATE(2027,4,1)=DATE(2026,10,1),IF('Model inputs'!U39="","",'Model inputs'!U39),IF('Base versus Growth'!M9="","",'Base versus Growth'!M9)))+'Base versus Growth'!O8</f>
        <v>9612.812450000003</v>
      </c>
      <c r="P9" s="11">
        <f>IF(IF(DATE(2027,5,1)=DATE(2026,10,1),IF('Model inputs'!U38="","",'Model inputs'!U38),IF('Base versus Growth'!N9="","",'Base versus Growth'!N9))="",0,IF(DATE(2027,5,1)=DATE(2026,10,1),IF('Model inputs'!U38="","",'Model inputs'!U38),IF('Base versus Growth'!N9="","",'Base versus Growth'!N9)))+'Base versus Growth'!P8</f>
        <v>0</v>
      </c>
      <c r="Q9" s="11">
        <f>IF(IF(DATE(2027,5,1)=DATE(2026,10,1),IF('Model inputs'!U39="","",'Model inputs'!U39),IF('Base versus Growth'!O9="","",'Base versus Growth'!O9))="",0,IF(DATE(2027,5,1)=DATE(2026,10,1),IF('Model inputs'!U39="","",'Model inputs'!U39),IF('Base versus Growth'!O9="","",'Base versus Growth'!O9)))+'Base versus Growth'!Q8</f>
        <v>3264.093695000005</v>
      </c>
      <c r="R9" s="11">
        <f>IF(IF(DATE(2027,6,1)=DATE(2026,10,1),IF('Model inputs'!U38="","",'Model inputs'!U38),IF('Base versus Growth'!P9="","",'Base versus Growth'!P9))="",0,IF(DATE(2027,6,1)=DATE(2026,10,1),IF('Model inputs'!U38="","",'Model inputs'!U38),IF('Base versus Growth'!P9="","",'Base versus Growth'!P9)))+'Base versus Growth'!R8</f>
        <v>-7250</v>
      </c>
      <c r="S9" s="11">
        <f>IF(IF(DATE(2027,6,1)=DATE(2026,10,1),IF('Model inputs'!U39="","",'Model inputs'!U39),IF('Base versus Growth'!Q9="","",'Base versus Growth'!Q9))="",0,IF(DATE(2027,6,1)=DATE(2026,10,1),IF('Model inputs'!U39="","",'Model inputs'!U39),IF('Base versus Growth'!Q9="","",'Base versus Growth'!Q9)))+'Base versus Growth'!S8</f>
        <v>-2899.496935499994</v>
      </c>
      <c r="T9" s="11">
        <f>IF(IF(DATE(2027,7,1)=DATE(2026,10,1),IF('Model inputs'!U38="","",'Model inputs'!U38),IF('Base versus Growth'!R9="","",'Base versus Growth'!R9))="",0,IF(DATE(2027,7,1)=DATE(2026,10,1),IF('Model inputs'!U38="","",'Model inputs'!U38),IF('Base versus Growth'!R9="","",'Base versus Growth'!R9)))+'Base versus Growth'!T8</f>
        <v>-14500</v>
      </c>
      <c r="U9" s="11">
        <f>IF(IF(DATE(2027,7,1)=DATE(2026,10,1),IF('Model inputs'!U39="","",'Model inputs'!U39),IF('Base versus Growth'!S9="","",'Base versus Growth'!S9))="",0,IF(DATE(2027,7,1)=DATE(2026,10,1),IF('Model inputs'!U39="","",'Model inputs'!U39),IF('Base versus Growth'!S9="","",'Base versus Growth'!S9)))+'Base versus Growth'!U8</f>
        <v>-8859.446629049991</v>
      </c>
      <c r="V9" s="11">
        <f>IF(IF(DATE(2027,8,1)=DATE(2026,10,1),IF('Model inputs'!U38="","",'Model inputs'!U38),IF('Base versus Growth'!T9="","",'Base versus Growth'!T9))="",0,IF(DATE(2027,8,1)=DATE(2026,10,1),IF('Model inputs'!U38="","",'Model inputs'!U38),IF('Base versus Growth'!T9="","",'Base versus Growth'!T9)))+'Base versus Growth'!V8</f>
        <v>-21750</v>
      </c>
      <c r="W9" s="11">
        <f>IF(IF(DATE(2027,8,1)=DATE(2026,10,1),IF('Model inputs'!U39="","",'Model inputs'!U39),IF('Base versus Growth'!U9="","",'Base versus Growth'!U9))="",0,IF(DATE(2027,8,1)=DATE(2026,10,1),IF('Model inputs'!U39="","",'Model inputs'!U39),IF('Base versus Growth'!U9="","",'Base versus Growth'!U9)))+'Base versus Growth'!W8</f>
        <v>-14595.391291954988</v>
      </c>
      <c r="X9" s="11">
        <f>IF(IF(DATE(2027,9,1)=DATE(2026,10,1),IF('Model inputs'!U38="","",'Model inputs'!U38),IF('Base versus Growth'!V9="","",'Base versus Growth'!V9))="",0,IF(DATE(2027,9,1)=DATE(2026,10,1),IF('Model inputs'!U38="","",'Model inputs'!U38),IF('Base versus Growth'!V9="","",'Base versus Growth'!V9)))+'Base versus Growth'!X8</f>
        <v>-29000</v>
      </c>
      <c r="Y9" s="11">
        <f>IF(IF(DATE(2027,9,1)=DATE(2026,10,1),IF('Model inputs'!U39="","",'Model inputs'!U39),IF('Base versus Growth'!W9="","",'Base versus Growth'!W9))="",0,IF(DATE(2027,9,1)=DATE(2026,10,1),IF('Model inputs'!U39="","",'Model inputs'!U39),IF('Base versus Growth'!W9="","",'Base versus Growth'!W9)))+'Base versus Growth'!Y8</f>
        <v>-20084.930421150486</v>
      </c>
      <c r="Z9" s="11">
        <f>IF(IF(DATE(2027,10,1)=DATE(2026,10,1),IF('Model inputs'!U38="","",'Model inputs'!U38),IF('Base versus Growth'!X9="","",'Base versus Growth'!X9))="",0,IF(DATE(2027,10,1)=DATE(2026,10,1),IF('Model inputs'!U38="","",'Model inputs'!U38),IF('Base versus Growth'!X9="","",'Base versus Growth'!X9)))+'Base versus Growth'!Z8</f>
        <v>-36250</v>
      </c>
      <c r="AA9" s="11">
        <f>IF(IF(DATE(2027,10,1)=DATE(2026,10,1),IF('Model inputs'!U39="","",'Model inputs'!U39),IF('Base versus Growth'!Y9="","",'Base versus Growth'!Y9))="",0,IF(DATE(2027,10,1)=DATE(2026,10,1),IF('Model inputs'!U39="","",'Model inputs'!U39),IF('Base versus Growth'!Y9="","",'Base versus Growth'!Y9)))+'Base versus Growth'!AA8</f>
        <v>-25303.42346326553</v>
      </c>
      <c r="AB9" s="11">
        <f>IF(IF(DATE(2027,11,1)=DATE(2026,10,1),IF('Model inputs'!U38="","",'Model inputs'!U38),IF('Base versus Growth'!Z9="","",'Base versus Growth'!Z9))="",0,IF(DATE(2027,11,1)=DATE(2026,10,1),IF('Model inputs'!U38="","",'Model inputs'!U38),IF('Base versus Growth'!Z9="","",'Base versus Growth'!Z9)))+'Base versus Growth'!AB8</f>
        <v>-43500</v>
      </c>
      <c r="AC9" s="11">
        <f>IF(IF(DATE(2027,11,1)=DATE(2026,10,1),IF('Model inputs'!U39="","",'Model inputs'!U39),IF('Base versus Growth'!AA9="","",'Base versus Growth'!AA9))="",0,IF(DATE(2027,11,1)=DATE(2026,10,1),IF('Model inputs'!U39="","",'Model inputs'!U39),IF('Base versus Growth'!AA9="","",'Base versus Growth'!AA9)))+'Base versus Growth'!AC8</f>
        <v>-30223.76580959208</v>
      </c>
      <c r="AD9" s="11">
        <f>IF(IF(DATE(2027,12,1)=DATE(2026,10,1),IF('Model inputs'!U38="","",'Model inputs'!U38),IF('Base versus Growth'!AB9="","",'Base versus Growth'!AB9))="",0,IF(DATE(2027,12,1)=DATE(2026,10,1),IF('Model inputs'!U38="","",'Model inputs'!U38),IF('Base versus Growth'!AB9="","",'Base versus Growth'!AB9)))+'Base versus Growth'!AD8</f>
        <v>-50750</v>
      </c>
      <c r="AE9" s="11">
        <f>IF(IF(DATE(2027,12,1)=DATE(2026,10,1),IF('Model inputs'!U39="","",'Model inputs'!U39),IF('Base versus Growth'!AC9="","",'Base versus Growth'!AC9))="",0,IF(DATE(2027,12,1)=DATE(2026,10,1),IF('Model inputs'!U39="","",'Model inputs'!U39),IF('Base versus Growth'!AC9="","",'Base versus Growth'!AC9)))+'Base versus Growth'!AE8</f>
        <v>-34816.142390551286</v>
      </c>
      <c r="AF9" s="11">
        <f>IF(IF(DATE(2028,1,1)=DATE(2026,10,1),IF('Model inputs'!U38="","",'Model inputs'!U38),IF('Base versus Growth'!AD9="","",'Base versus Growth'!AD9))="",0,IF(DATE(2028,1,1)=DATE(2026,10,1),IF('Model inputs'!U38="","",'Model inputs'!U38),IF('Base versus Growth'!AD9="","",'Base versus Growth'!AD9)))+'Base versus Growth'!AF8</f>
        <v>-58000</v>
      </c>
      <c r="AG9" s="11">
        <f>IF(IF(DATE(2028,1,1)=DATE(2026,10,1),IF('Model inputs'!U39="","",'Model inputs'!U39),IF('Base versus Growth'!AE9="","",'Base versus Growth'!AE9))="",0,IF(DATE(2028,1,1)=DATE(2026,10,1),IF('Model inputs'!U39="","",'Model inputs'!U39),IF('Base versus Growth'!AE9="","",'Base versus Growth'!AE9)))+'Base versus Growth'!AG8</f>
        <v>-39047.75662960641</v>
      </c>
      <c r="AH9" s="11">
        <f>IF(IF(DATE(2028,2,1)=DATE(2026,10,1),IF('Model inputs'!U38="","",'Model inputs'!U38),IF('Base versus Growth'!AF9="","",'Base versus Growth'!AF9))="",0,IF(DATE(2028,2,1)=DATE(2026,10,1),IF('Model inputs'!U38="","",'Model inputs'!U38),IF('Base versus Growth'!AF9="","",'Base versus Growth'!AF9)))+'Base versus Growth'!AH8</f>
        <v>-65250</v>
      </c>
      <c r="AI9" s="11">
        <f>IF(IF(DATE(2028,2,1)=DATE(2026,10,1),IF('Model inputs'!U39="","",'Model inputs'!U39),IF('Base versus Growth'!AG9="","",'Base versus Growth'!AG9))="",0,IF(DATE(2028,2,1)=DATE(2026,10,1),IF('Model inputs'!U39="","",'Model inputs'!U39),IF('Base versus Growth'!AG9="","",'Base versus Growth'!AG9)))+'Base versus Growth'!AI8</f>
        <v>-42882.53229256705</v>
      </c>
      <c r="AJ9" s="11">
        <f>IF(IF(DATE(2028,3,1)=DATE(2026,10,1),IF('Model inputs'!U38="","",'Model inputs'!U38),IF('Base versus Growth'!AH9="","",'Base versus Growth'!AH9))="",0,IF(DATE(2028,3,1)=DATE(2026,10,1),IF('Model inputs'!U38="","",'Model inputs'!U38),IF('Base versus Growth'!AH9="","",'Base versus Growth'!AH9)))+'Base versus Growth'!AJ8</f>
        <v>-72500</v>
      </c>
      <c r="AK9" s="11">
        <f>IF(IF(DATE(2028,3,1)=DATE(2026,10,1),IF('Model inputs'!U39="","",'Model inputs'!U39),IF('Base versus Growth'!AI9="","",'Base versus Growth'!AI9))="",0,IF(DATE(2028,3,1)=DATE(2026,10,1),IF('Model inputs'!U39="","",'Model inputs'!U39),IF('Base versus Growth'!AI9="","",'Base versus Growth'!AI9)))+'Base versus Growth'!AK8</f>
        <v>-46280.78552182375</v>
      </c>
    </row>
  </sheetData>
  <mergeCells count="1">
    <mergeCell ref="A1:AK1"/>
  </mergeCells>
</worksheet>
</file>

<file path=xl/worksheets/sheet2.xml><?xml version="1.0" encoding="utf-8"?>
<worksheet xmlns="http://schemas.openxmlformats.org/spreadsheetml/2006/main">
  <dimension ref="A1:S1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</cols>
  <sheetData>
    <row r="1" ht="32" customHeight="1">
      <c r="A1" t="inlineStr" s="1">
        <is>
          <t xml:space="preserve">18-month forecast</t>
        </is>
      </c>
    </row>
    <row r="2" ht="20" customHeight="1">
      <c r="A2" t="inlineStr" s="2">
        <is>
          <t xml:space="preserve">Mend — Forecast and runway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  <c r="N4" t="inlineStr" s="4">
        <is>
          <t xml:space="preserve">2027-10</t>
        </is>
      </c>
      <c r="O4" t="inlineStr" s="5">
        <is>
          <t xml:space="preserve">2027-11</t>
        </is>
      </c>
      <c r="P4" t="inlineStr" s="5">
        <is>
          <t xml:space="preserve">2027-12</t>
        </is>
      </c>
      <c r="Q4" t="inlineStr" s="4">
        <is>
          <t xml:space="preserve">2028-01</t>
        </is>
      </c>
      <c r="R4" t="inlineStr" s="5">
        <is>
          <t xml:space="preserve">2028-02</t>
        </is>
      </c>
      <c r="S4" t="inlineStr" s="5">
        <is>
          <t xml:space="preserve">2028-03</t>
        </is>
      </c>
    </row>
    <row r="5">
      <c r="A5" t="inlineStr" s="6">
        <is>
          <t xml:space="preserve">Paying teams</t>
        </is>
      </c>
      <c r="B5" s="7">
        <f>IF('Model inputs'!U40="","",'Model inputs'!U40)</f>
        <v>50</v>
      </c>
      <c r="C5" s="7">
        <f>'18-month forecast'!B5*(1+'Model inputs'!U30)</f>
        <v>50</v>
      </c>
      <c r="D5" s="7">
        <f>'18-month forecast'!C5*(1+'Model inputs'!U30)</f>
        <v>50</v>
      </c>
      <c r="E5" s="7">
        <f>'18-month forecast'!D5*(1+'Model inputs'!U30)</f>
        <v>50</v>
      </c>
      <c r="F5" s="7">
        <f>'18-month forecast'!E5*(1+'Model inputs'!U30)</f>
        <v>50</v>
      </c>
      <c r="G5" s="7">
        <f>'18-month forecast'!F5*(1+'Model inputs'!U30)</f>
        <v>50</v>
      </c>
      <c r="H5" s="7">
        <f>'18-month forecast'!G5*(1+'Model inputs'!U30)</f>
        <v>50</v>
      </c>
      <c r="I5" s="7">
        <f>'18-month forecast'!H5*(1+'Model inputs'!U30)</f>
        <v>50</v>
      </c>
      <c r="J5" s="7">
        <f>'18-month forecast'!I5*(1+'Model inputs'!U30)</f>
        <v>50</v>
      </c>
      <c r="K5" s="7">
        <f>'18-month forecast'!J5*(1+'Model inputs'!U30)</f>
        <v>50</v>
      </c>
      <c r="L5" s="7">
        <f>'18-month forecast'!K5*(1+'Model inputs'!U30)</f>
        <v>50</v>
      </c>
      <c r="M5" s="7">
        <f>'18-month forecast'!L5*(1+'Model inputs'!U30)</f>
        <v>50</v>
      </c>
      <c r="N5" s="7">
        <f>'18-month forecast'!M5*(1+'Model inputs'!U30)</f>
        <v>50</v>
      </c>
      <c r="O5" s="7">
        <f>'18-month forecast'!N5*(1+'Model inputs'!U30)</f>
        <v>50</v>
      </c>
      <c r="P5" s="7">
        <f>'18-month forecast'!O5*(1+'Model inputs'!U30)</f>
        <v>50</v>
      </c>
      <c r="Q5" s="7">
        <f>'18-month forecast'!P5*(1+'Model inputs'!U30)</f>
        <v>50</v>
      </c>
      <c r="R5" s="7">
        <f>'18-month forecast'!Q5*(1+'Model inputs'!U30)</f>
        <v>50</v>
      </c>
      <c r="S5" s="7">
        <f>'18-month forecast'!R5*(1+'Model inputs'!U30)</f>
        <v>50</v>
      </c>
    </row>
    <row r="6">
      <c r="A6" t="inlineStr" s="8">
        <is>
          <t xml:space="preserve">Monthly revenue</t>
        </is>
      </c>
      <c r="B6" s="9">
        <f>'18-month forecast'!B5*'Model inputs'!U35</f>
        <v>2450</v>
      </c>
      <c r="C6" s="9">
        <f>'18-month forecast'!C5*'Model inputs'!U35</f>
        <v>2450</v>
      </c>
      <c r="D6" s="9">
        <f>'18-month forecast'!D5*'Model inputs'!U35</f>
        <v>2450</v>
      </c>
      <c r="E6" s="9">
        <f>'18-month forecast'!E5*'Model inputs'!U35</f>
        <v>2450</v>
      </c>
      <c r="F6" s="9">
        <f>'18-month forecast'!F5*'Model inputs'!U35</f>
        <v>2450</v>
      </c>
      <c r="G6" s="9">
        <f>'18-month forecast'!G5*'Model inputs'!U35</f>
        <v>2450</v>
      </c>
      <c r="H6" s="9">
        <f>'18-month forecast'!H5*'Model inputs'!U35</f>
        <v>2450</v>
      </c>
      <c r="I6" s="9">
        <f>'18-month forecast'!I5*'Model inputs'!U35</f>
        <v>2450</v>
      </c>
      <c r="J6" s="9">
        <f>'18-month forecast'!J5*'Model inputs'!U35</f>
        <v>2450</v>
      </c>
      <c r="K6" s="9">
        <f>'18-month forecast'!K5*'Model inputs'!U35</f>
        <v>2450</v>
      </c>
      <c r="L6" s="9">
        <f>'18-month forecast'!L5*'Model inputs'!U35</f>
        <v>2450</v>
      </c>
      <c r="M6" s="9">
        <f>'18-month forecast'!M5*'Model inputs'!U35</f>
        <v>2450</v>
      </c>
      <c r="N6" s="9">
        <f>'18-month forecast'!N5*'Model inputs'!U35</f>
        <v>2450</v>
      </c>
      <c r="O6" s="9">
        <f>'18-month forecast'!O5*'Model inputs'!U35</f>
        <v>2450</v>
      </c>
      <c r="P6" s="9">
        <f>'18-month forecast'!P5*'Model inputs'!U35</f>
        <v>2450</v>
      </c>
      <c r="Q6" s="9">
        <f>'18-month forecast'!Q5*'Model inputs'!U35</f>
        <v>2450</v>
      </c>
      <c r="R6" s="9">
        <f>'18-month forecast'!R5*'Model inputs'!U35</f>
        <v>2450</v>
      </c>
      <c r="S6" s="9">
        <f>'18-month forecast'!S5*'Model inputs'!U35</f>
        <v>2450</v>
      </c>
    </row>
    <row r="7">
      <c r="A7" t="inlineStr" s="8">
        <is>
          <t xml:space="preserve">Repair rounds delivered</t>
        </is>
      </c>
      <c r="B7" s="10">
        <f>'18-month forecast'!B5*'Model inputs'!U37</f>
        <v>1000</v>
      </c>
      <c r="C7" s="10">
        <f>'18-month forecast'!C5*'Model inputs'!U37</f>
        <v>1000</v>
      </c>
      <c r="D7" s="10">
        <f>'18-month forecast'!D5*'Model inputs'!U37</f>
        <v>1000</v>
      </c>
      <c r="E7" s="10">
        <f>'18-month forecast'!E5*'Model inputs'!U37</f>
        <v>1000</v>
      </c>
      <c r="F7" s="10">
        <f>'18-month forecast'!F5*'Model inputs'!U37</f>
        <v>1000</v>
      </c>
      <c r="G7" s="10">
        <f>'18-month forecast'!G5*'Model inputs'!U37</f>
        <v>1000</v>
      </c>
      <c r="H7" s="10">
        <f>'18-month forecast'!H5*'Model inputs'!U37</f>
        <v>1000</v>
      </c>
      <c r="I7" s="10">
        <f>'18-month forecast'!I5*'Model inputs'!U37</f>
        <v>1000</v>
      </c>
      <c r="J7" s="10">
        <f>'18-month forecast'!J5*'Model inputs'!U37</f>
        <v>1000</v>
      </c>
      <c r="K7" s="10">
        <f>'18-month forecast'!K5*'Model inputs'!U37</f>
        <v>1000</v>
      </c>
      <c r="L7" s="10">
        <f>'18-month forecast'!L5*'Model inputs'!U37</f>
        <v>1000</v>
      </c>
      <c r="M7" s="10">
        <f>'18-month forecast'!M5*'Model inputs'!U37</f>
        <v>1000</v>
      </c>
      <c r="N7" s="10">
        <f>'18-month forecast'!N5*'Model inputs'!U37</f>
        <v>1000</v>
      </c>
      <c r="O7" s="10">
        <f>'18-month forecast'!O5*'Model inputs'!U37</f>
        <v>1000</v>
      </c>
      <c r="P7" s="10">
        <f>'18-month forecast'!P5*'Model inputs'!U37</f>
        <v>1000</v>
      </c>
      <c r="Q7" s="10">
        <f>'18-month forecast'!Q5*'Model inputs'!U37</f>
        <v>1000</v>
      </c>
      <c r="R7" s="10">
        <f>'18-month forecast'!R5*'Model inputs'!U37</f>
        <v>1000</v>
      </c>
      <c r="S7" s="10">
        <f>'18-month forecast'!S5*'Model inputs'!U37</f>
        <v>1000</v>
      </c>
    </row>
    <row r="8">
      <c r="A8" t="inlineStr" s="8">
        <is>
          <t xml:space="preserve">Monthly model fees</t>
        </is>
      </c>
      <c r="B8" s="9">
        <f>'18-month forecast'!B7*'Model inputs'!U34</f>
        <v>1500</v>
      </c>
      <c r="C8" s="9">
        <f>'18-month forecast'!C7*'Model inputs'!U34</f>
        <v>1500</v>
      </c>
      <c r="D8" s="9">
        <f>'18-month forecast'!D7*'Model inputs'!U34</f>
        <v>1500</v>
      </c>
      <c r="E8" s="9">
        <f>'18-month forecast'!E7*'Model inputs'!U34</f>
        <v>1500</v>
      </c>
      <c r="F8" s="9">
        <f>'18-month forecast'!F7*'Model inputs'!U34</f>
        <v>1500</v>
      </c>
      <c r="G8" s="9">
        <f>'18-month forecast'!G7*'Model inputs'!U34</f>
        <v>1500</v>
      </c>
      <c r="H8" s="9">
        <f>'18-month forecast'!H7*'Model inputs'!U34</f>
        <v>1500</v>
      </c>
      <c r="I8" s="9">
        <f>'18-month forecast'!I7*'Model inputs'!U34</f>
        <v>1500</v>
      </c>
      <c r="J8" s="9">
        <f>'18-month forecast'!J7*'Model inputs'!U34</f>
        <v>1500</v>
      </c>
      <c r="K8" s="9">
        <f>'18-month forecast'!K7*'Model inputs'!U34</f>
        <v>1500</v>
      </c>
      <c r="L8" s="9">
        <f>'18-month forecast'!L7*'Model inputs'!U34</f>
        <v>1500</v>
      </c>
      <c r="M8" s="9">
        <f>'18-month forecast'!M7*'Model inputs'!U34</f>
        <v>1500</v>
      </c>
      <c r="N8" s="9">
        <f>'18-month forecast'!N7*'Model inputs'!U34</f>
        <v>1500</v>
      </c>
      <c r="O8" s="9">
        <f>'18-month forecast'!O7*'Model inputs'!U34</f>
        <v>1500</v>
      </c>
      <c r="P8" s="9">
        <f>'18-month forecast'!P7*'Model inputs'!U34</f>
        <v>1500</v>
      </c>
      <c r="Q8" s="9">
        <f>'18-month forecast'!Q7*'Model inputs'!U34</f>
        <v>1500</v>
      </c>
      <c r="R8" s="9">
        <f>'18-month forecast'!R7*'Model inputs'!U34</f>
        <v>1500</v>
      </c>
      <c r="S8" s="9">
        <f>'18-month forecast'!S7*'Model inputs'!U34</f>
        <v>1500</v>
      </c>
    </row>
    <row r="9">
      <c r="A9" t="inlineStr" s="8">
        <is>
          <t xml:space="preserve">Infrastructure expense</t>
        </is>
      </c>
      <c r="B9" s="9">
        <f>IF('Model inputs'!U8="","",'Model inputs'!U8)</f>
        <v>200</v>
      </c>
      <c r="C9" s="9">
        <f>IF('Model inputs'!U8="","",'Model inputs'!U8)</f>
        <v>200</v>
      </c>
      <c r="D9" s="9">
        <f>IF('Model inputs'!U8="","",'Model inputs'!U8)</f>
        <v>200</v>
      </c>
      <c r="E9" s="9">
        <f>IF('Model inputs'!U8="","",'Model inputs'!U8)</f>
        <v>200</v>
      </c>
      <c r="F9" s="9">
        <f>IF('Model inputs'!U8="","",'Model inputs'!U8)</f>
        <v>200</v>
      </c>
      <c r="G9" s="9">
        <f>IF('Model inputs'!U8="","",'Model inputs'!U8)</f>
        <v>200</v>
      </c>
      <c r="H9" s="9">
        <f>IF('Model inputs'!U8="","",'Model inputs'!U8)</f>
        <v>200</v>
      </c>
      <c r="I9" s="9">
        <f>IF('Model inputs'!U8="","",'Model inputs'!U8)</f>
        <v>200</v>
      </c>
      <c r="J9" s="9">
        <f>IF('Model inputs'!U8="","",'Model inputs'!U8)</f>
        <v>200</v>
      </c>
      <c r="K9" s="9">
        <f>IF('Model inputs'!U8="","",'Model inputs'!U8)</f>
        <v>200</v>
      </c>
      <c r="L9" s="9">
        <f>IF('Model inputs'!U8="","",'Model inputs'!U8)</f>
        <v>200</v>
      </c>
      <c r="M9" s="9">
        <f>IF('Model inputs'!U8="","",'Model inputs'!U8)</f>
        <v>200</v>
      </c>
      <c r="N9" s="9">
        <f>IF('Model inputs'!U8="","",'Model inputs'!U8)</f>
        <v>200</v>
      </c>
      <c r="O9" s="9">
        <f>IF('Model inputs'!U8="","",'Model inputs'!U8)</f>
        <v>200</v>
      </c>
      <c r="P9" s="9">
        <f>IF('Model inputs'!U8="","",'Model inputs'!U8)</f>
        <v>200</v>
      </c>
      <c r="Q9" s="9">
        <f>IF('Model inputs'!U8="","",'Model inputs'!U8)</f>
        <v>200</v>
      </c>
      <c r="R9" s="9">
        <f>IF('Model inputs'!U8="","",'Model inputs'!U8)</f>
        <v>200</v>
      </c>
      <c r="S9" s="9">
        <f>IF('Model inputs'!U8="","",'Model inputs'!U8)</f>
        <v>200</v>
      </c>
    </row>
    <row r="10">
      <c r="A10" t="inlineStr" s="8">
        <is>
          <t xml:space="preserve">Cost of revenue</t>
        </is>
      </c>
      <c r="B10" s="9">
        <f>'18-month forecast'!B8+'18-month forecast'!B9</f>
        <v>1700</v>
      </c>
      <c r="C10" s="9">
        <f>'18-month forecast'!C8+'18-month forecast'!C9</f>
        <v>1700</v>
      </c>
      <c r="D10" s="9">
        <f>'18-month forecast'!D8+'18-month forecast'!D9</f>
        <v>1700</v>
      </c>
      <c r="E10" s="9">
        <f>'18-month forecast'!E8+'18-month forecast'!E9</f>
        <v>1700</v>
      </c>
      <c r="F10" s="9">
        <f>'18-month forecast'!F8+'18-month forecast'!F9</f>
        <v>1700</v>
      </c>
      <c r="G10" s="9">
        <f>'18-month forecast'!G8+'18-month forecast'!G9</f>
        <v>1700</v>
      </c>
      <c r="H10" s="9">
        <f>'18-month forecast'!H8+'18-month forecast'!H9</f>
        <v>1700</v>
      </c>
      <c r="I10" s="9">
        <f>'18-month forecast'!I8+'18-month forecast'!I9</f>
        <v>1700</v>
      </c>
      <c r="J10" s="9">
        <f>'18-month forecast'!J8+'18-month forecast'!J9</f>
        <v>1700</v>
      </c>
      <c r="K10" s="9">
        <f>'18-month forecast'!K8+'18-month forecast'!K9</f>
        <v>1700</v>
      </c>
      <c r="L10" s="9">
        <f>'18-month forecast'!L8+'18-month forecast'!L9</f>
        <v>1700</v>
      </c>
      <c r="M10" s="9">
        <f>'18-month forecast'!M8+'18-month forecast'!M9</f>
        <v>1700</v>
      </c>
      <c r="N10" s="9">
        <f>'18-month forecast'!N8+'18-month forecast'!N9</f>
        <v>1700</v>
      </c>
      <c r="O10" s="9">
        <f>'18-month forecast'!O8+'18-month forecast'!O9</f>
        <v>1700</v>
      </c>
      <c r="P10" s="9">
        <f>'18-month forecast'!P8+'18-month forecast'!P9</f>
        <v>1700</v>
      </c>
      <c r="Q10" s="9">
        <f>'18-month forecast'!Q8+'18-month forecast'!Q9</f>
        <v>1700</v>
      </c>
      <c r="R10" s="9">
        <f>'18-month forecast'!R8+'18-month forecast'!R9</f>
        <v>1700</v>
      </c>
      <c r="S10" s="9">
        <f>'18-month forecast'!S8+'18-month forecast'!S9</f>
        <v>1700</v>
      </c>
    </row>
    <row r="11">
      <c r="A11" t="inlineStr" s="8">
        <is>
          <t xml:space="preserve">Gross profit</t>
        </is>
      </c>
      <c r="B11" s="9">
        <f>'18-month forecast'!B6-'18-month forecast'!B10</f>
        <v>750</v>
      </c>
      <c r="C11" s="9">
        <f>'18-month forecast'!C6-'18-month forecast'!C10</f>
        <v>750</v>
      </c>
      <c r="D11" s="9">
        <f>'18-month forecast'!D6-'18-month forecast'!D10</f>
        <v>750</v>
      </c>
      <c r="E11" s="9">
        <f>'18-month forecast'!E6-'18-month forecast'!E10</f>
        <v>750</v>
      </c>
      <c r="F11" s="9">
        <f>'18-month forecast'!F6-'18-month forecast'!F10</f>
        <v>750</v>
      </c>
      <c r="G11" s="9">
        <f>'18-month forecast'!G6-'18-month forecast'!G10</f>
        <v>750</v>
      </c>
      <c r="H11" s="9">
        <f>'18-month forecast'!H6-'18-month forecast'!H10</f>
        <v>750</v>
      </c>
      <c r="I11" s="9">
        <f>'18-month forecast'!I6-'18-month forecast'!I10</f>
        <v>750</v>
      </c>
      <c r="J11" s="9">
        <f>'18-month forecast'!J6-'18-month forecast'!J10</f>
        <v>750</v>
      </c>
      <c r="K11" s="9">
        <f>'18-month forecast'!K6-'18-month forecast'!K10</f>
        <v>750</v>
      </c>
      <c r="L11" s="9">
        <f>'18-month forecast'!L6-'18-month forecast'!L10</f>
        <v>750</v>
      </c>
      <c r="M11" s="9">
        <f>'18-month forecast'!M6-'18-month forecast'!M10</f>
        <v>750</v>
      </c>
      <c r="N11" s="9">
        <f>'18-month forecast'!N6-'18-month forecast'!N10</f>
        <v>750</v>
      </c>
      <c r="O11" s="9">
        <f>'18-month forecast'!O6-'18-month forecast'!O10</f>
        <v>750</v>
      </c>
      <c r="P11" s="9">
        <f>'18-month forecast'!P6-'18-month forecast'!P10</f>
        <v>750</v>
      </c>
      <c r="Q11" s="9">
        <f>'18-month forecast'!Q6-'18-month forecast'!Q10</f>
        <v>750</v>
      </c>
      <c r="R11" s="9">
        <f>'18-month forecast'!R6-'18-month forecast'!R10</f>
        <v>750</v>
      </c>
      <c r="S11" s="9">
        <f>'18-month forecast'!S6-'18-month forecast'!S10</f>
        <v>750</v>
      </c>
    </row>
    <row r="12">
      <c r="A12" t="inlineStr" s="8">
        <is>
          <t xml:space="preserve">Gross margin</t>
        </is>
      </c>
      <c r="B12" s="12">
        <f>IFERROR('18-month forecast'!B11/'18-month forecast'!B6,"")</f>
        <v>0.30612244897959184</v>
      </c>
      <c r="C12" s="12">
        <f>IFERROR('18-month forecast'!C11/'18-month forecast'!C6,"")</f>
        <v>0.30612244897959184</v>
      </c>
      <c r="D12" s="12">
        <f>IFERROR('18-month forecast'!D11/'18-month forecast'!D6,"")</f>
        <v>0.30612244897959184</v>
      </c>
      <c r="E12" s="12">
        <f>IFERROR('18-month forecast'!E11/'18-month forecast'!E6,"")</f>
        <v>0.30612244897959184</v>
      </c>
      <c r="F12" s="12">
        <f>IFERROR('18-month forecast'!F11/'18-month forecast'!F6,"")</f>
        <v>0.30612244897959184</v>
      </c>
      <c r="G12" s="12">
        <f>IFERROR('18-month forecast'!G11/'18-month forecast'!G6,"")</f>
        <v>0.30612244897959184</v>
      </c>
      <c r="H12" s="12">
        <f>IFERROR('18-month forecast'!H11/'18-month forecast'!H6,"")</f>
        <v>0.30612244897959184</v>
      </c>
      <c r="I12" s="12">
        <f>IFERROR('18-month forecast'!I11/'18-month forecast'!I6,"")</f>
        <v>0.30612244897959184</v>
      </c>
      <c r="J12" s="12">
        <f>IFERROR('18-month forecast'!J11/'18-month forecast'!J6,"")</f>
        <v>0.30612244897959184</v>
      </c>
      <c r="K12" s="12">
        <f>IFERROR('18-month forecast'!K11/'18-month forecast'!K6,"")</f>
        <v>0.30612244897959184</v>
      </c>
      <c r="L12" s="12">
        <f>IFERROR('18-month forecast'!L11/'18-month forecast'!L6,"")</f>
        <v>0.30612244897959184</v>
      </c>
      <c r="M12" s="12">
        <f>IFERROR('18-month forecast'!M11/'18-month forecast'!M6,"")</f>
        <v>0.30612244897959184</v>
      </c>
      <c r="N12" s="12">
        <f>IFERROR('18-month forecast'!N11/'18-month forecast'!N6,"")</f>
        <v>0.30612244897959184</v>
      </c>
      <c r="O12" s="12">
        <f>IFERROR('18-month forecast'!O11/'18-month forecast'!O6,"")</f>
        <v>0.30612244897959184</v>
      </c>
      <c r="P12" s="12">
        <f>IFERROR('18-month forecast'!P11/'18-month forecast'!P6,"")</f>
        <v>0.30612244897959184</v>
      </c>
      <c r="Q12" s="12">
        <f>IFERROR('18-month forecast'!Q11/'18-month forecast'!Q6,"")</f>
        <v>0.30612244897959184</v>
      </c>
      <c r="R12" s="12">
        <f>IFERROR('18-month forecast'!R11/'18-month forecast'!R6,"")</f>
        <v>0.30612244897959184</v>
      </c>
      <c r="S12" s="12">
        <f>IFERROR('18-month forecast'!S11/'18-month forecast'!S6,"")</f>
        <v>0.30612244897959184</v>
      </c>
    </row>
    <row r="13">
      <c r="A13" t="inlineStr" s="6">
        <is>
          <t xml:space="preserve">Founder payroll</t>
        </is>
      </c>
      <c r="B13" s="11">
        <f>SUM('18-month forecast'!B14,'18-month forecast'!B15,'18-month forecast'!B16,'18-month forecast'!B17)</f>
        <v>0</v>
      </c>
      <c r="C13" s="11">
        <f>SUM('18-month forecast'!C14,'18-month forecast'!C15,'18-month forecast'!C16,'18-month forecast'!C17)</f>
        <v>0</v>
      </c>
      <c r="D13" s="11">
        <f>SUM('18-month forecast'!D14,'18-month forecast'!D15,'18-month forecast'!D16,'18-month forecast'!D17)</f>
        <v>0</v>
      </c>
      <c r="E13" s="11">
        <f>SUM('18-month forecast'!E14,'18-month forecast'!E15,'18-month forecast'!E16,'18-month forecast'!E17)</f>
        <v>0</v>
      </c>
      <c r="F13" s="11">
        <f>SUM('18-month forecast'!F14,'18-month forecast'!F15,'18-month forecast'!F16,'18-month forecast'!F17)</f>
        <v>0</v>
      </c>
      <c r="G13" s="11">
        <f>SUM('18-month forecast'!G14,'18-month forecast'!G15,'18-month forecast'!G16,'18-month forecast'!G17)</f>
        <v>0</v>
      </c>
      <c r="H13" s="11">
        <f>SUM('18-month forecast'!H14,'18-month forecast'!H15,'18-month forecast'!H16,'18-month forecast'!H17)</f>
        <v>8000</v>
      </c>
      <c r="I13" s="11">
        <f>SUM('18-month forecast'!I14,'18-month forecast'!I15,'18-month forecast'!I16,'18-month forecast'!I17)</f>
        <v>8000</v>
      </c>
      <c r="J13" s="11">
        <f>SUM('18-month forecast'!J14,'18-month forecast'!J15,'18-month forecast'!J16,'18-month forecast'!J17)</f>
        <v>8000</v>
      </c>
      <c r="K13" s="11">
        <f>SUM('18-month forecast'!K14,'18-month forecast'!K15,'18-month forecast'!K16,'18-month forecast'!K17)</f>
        <v>8000</v>
      </c>
      <c r="L13" s="11">
        <f>SUM('18-month forecast'!L14,'18-month forecast'!L15,'18-month forecast'!L16,'18-month forecast'!L17)</f>
        <v>8000</v>
      </c>
      <c r="M13" s="11">
        <f>SUM('18-month forecast'!M14,'18-month forecast'!M15,'18-month forecast'!M16,'18-month forecast'!M17)</f>
        <v>8000</v>
      </c>
      <c r="N13" s="11">
        <f>SUM('18-month forecast'!N14,'18-month forecast'!N15,'18-month forecast'!N16,'18-month forecast'!N17)</f>
        <v>8000</v>
      </c>
      <c r="O13" s="11">
        <f>SUM('18-month forecast'!O14,'18-month forecast'!O15,'18-month forecast'!O16,'18-month forecast'!O17)</f>
        <v>8000</v>
      </c>
      <c r="P13" s="11">
        <f>SUM('18-month forecast'!P14,'18-month forecast'!P15,'18-month forecast'!P16,'18-month forecast'!P17)</f>
        <v>8000</v>
      </c>
      <c r="Q13" s="11">
        <f>SUM('18-month forecast'!Q14,'18-month forecast'!Q15,'18-month forecast'!Q16,'18-month forecast'!Q17)</f>
        <v>8000</v>
      </c>
      <c r="R13" s="11">
        <f>SUM('18-month forecast'!R14,'18-month forecast'!R15,'18-month forecast'!R16,'18-month forecast'!R17)</f>
        <v>8000</v>
      </c>
      <c r="S13" s="11">
        <f>SUM('18-month forecast'!S14,'18-month forecast'!S15,'18-month forecast'!S16,'18-month forecast'!S17)</f>
        <v>8000</v>
      </c>
    </row>
    <row r="14" outlineLevel="1">
      <c r="A14" t="inlineStr" s="13">
        <is>
          <t xml:space="preserve">Placeholder founder 1</t>
        </is>
      </c>
      <c r="B14" s="9">
        <f>IF(IF(IF(ISERROR(DATE(2026,10,1)&gt;=DATE(YEAR('Model inputs'!U10),MONTH('Model inputs'!U10),1)),DATE(2026,10,1)&gt;=DATE(YEAR('Model inputs'!U10),MONTH('Model inputs'!U10),1),IF(DATE(YEAR('Model inputs'!U10),MONTH('Model inputs'!U10),1)="","",DATE(2026,10,1)&gt;=DATE(YEAR('Model inputs'!U10),MONTH('Model inputs'!U10),1)))="",FALSE,IF(ISERROR(DATE(2026,10,1)&gt;=DATE(YEAR('Model inputs'!U10),MONTH('Model inputs'!U10),1)),DATE(2026,10,1)&gt;=DATE(YEAR('Model inputs'!U10),MONTH('Model inputs'!U10),1),IF(DATE(YEAR('Model inputs'!U10),MONTH('Model inputs'!U10),1)="","",DATE(2026,10,1)&gt;=DATE(YEAR('Model inputs'!U10),MONTH('Model inputs'!U10),1)))),IF('Model inputs'!U23="","",'Model inputs'!U23),0)</f>
        <v>0</v>
      </c>
      <c r="C14" s="9">
        <f>IF(IF(IF(ISERROR(DATE(2026,11,1)&gt;=DATE(YEAR('Model inputs'!U10),MONTH('Model inputs'!U10),1)),DATE(2026,11,1)&gt;=DATE(YEAR('Model inputs'!U10),MONTH('Model inputs'!U10),1),IF(DATE(YEAR('Model inputs'!U10),MONTH('Model inputs'!U10),1)="","",DATE(2026,11,1)&gt;=DATE(YEAR('Model inputs'!U10),MONTH('Model inputs'!U10),1)))="",FALSE,IF(ISERROR(DATE(2026,11,1)&gt;=DATE(YEAR('Model inputs'!U10),MONTH('Model inputs'!U10),1)),DATE(2026,11,1)&gt;=DATE(YEAR('Model inputs'!U10),MONTH('Model inputs'!U10),1),IF(DATE(YEAR('Model inputs'!U10),MONTH('Model inputs'!U10),1)="","",DATE(2026,11,1)&gt;=DATE(YEAR('Model inputs'!U10),MONTH('Model inputs'!U10),1)))),IF('Model inputs'!U23="","",'Model inputs'!U23),0)</f>
        <v>0</v>
      </c>
      <c r="D14" s="9">
        <f>IF(IF(IF(ISERROR(DATE(2026,12,1)&gt;=DATE(YEAR('Model inputs'!U10),MONTH('Model inputs'!U10),1)),DATE(2026,12,1)&gt;=DATE(YEAR('Model inputs'!U10),MONTH('Model inputs'!U10),1),IF(DATE(YEAR('Model inputs'!U10),MONTH('Model inputs'!U10),1)="","",DATE(2026,12,1)&gt;=DATE(YEAR('Model inputs'!U10),MONTH('Model inputs'!U10),1)))="",FALSE,IF(ISERROR(DATE(2026,12,1)&gt;=DATE(YEAR('Model inputs'!U10),MONTH('Model inputs'!U10),1)),DATE(2026,12,1)&gt;=DATE(YEAR('Model inputs'!U10),MONTH('Model inputs'!U10),1),IF(DATE(YEAR('Model inputs'!U10),MONTH('Model inputs'!U10),1)="","",DATE(2026,12,1)&gt;=DATE(YEAR('Model inputs'!U10),MONTH('Model inputs'!U10),1)))),IF('Model inputs'!U23="","",'Model inputs'!U23),0)</f>
        <v>0</v>
      </c>
      <c r="E14" s="9">
        <f>IF(IF(IF(ISERROR(DATE(2027,1,1)&gt;=DATE(YEAR('Model inputs'!U10),MONTH('Model inputs'!U10),1)),DATE(2027,1,1)&gt;=DATE(YEAR('Model inputs'!U10),MONTH('Model inputs'!U10),1),IF(DATE(YEAR('Model inputs'!U10),MONTH('Model inputs'!U10),1)="","",DATE(2027,1,1)&gt;=DATE(YEAR('Model inputs'!U10),MONTH('Model inputs'!U10),1)))="",FALSE,IF(ISERROR(DATE(2027,1,1)&gt;=DATE(YEAR('Model inputs'!U10),MONTH('Model inputs'!U10),1)),DATE(2027,1,1)&gt;=DATE(YEAR('Model inputs'!U10),MONTH('Model inputs'!U10),1),IF(DATE(YEAR('Model inputs'!U10),MONTH('Model inputs'!U10),1)="","",DATE(2027,1,1)&gt;=DATE(YEAR('Model inputs'!U10),MONTH('Model inputs'!U10),1)))),IF('Model inputs'!U23="","",'Model inputs'!U23),0)</f>
        <v>0</v>
      </c>
      <c r="F14" s="9">
        <f>IF(IF(IF(ISERROR(DATE(2027,2,1)&gt;=DATE(YEAR('Model inputs'!U10),MONTH('Model inputs'!U10),1)),DATE(2027,2,1)&gt;=DATE(YEAR('Model inputs'!U10),MONTH('Model inputs'!U10),1),IF(DATE(YEAR('Model inputs'!U10),MONTH('Model inputs'!U10),1)="","",DATE(2027,2,1)&gt;=DATE(YEAR('Model inputs'!U10),MONTH('Model inputs'!U10),1)))="",FALSE,IF(ISERROR(DATE(2027,2,1)&gt;=DATE(YEAR('Model inputs'!U10),MONTH('Model inputs'!U10),1)),DATE(2027,2,1)&gt;=DATE(YEAR('Model inputs'!U10),MONTH('Model inputs'!U10),1),IF(DATE(YEAR('Model inputs'!U10),MONTH('Model inputs'!U10),1)="","",DATE(2027,2,1)&gt;=DATE(YEAR('Model inputs'!U10),MONTH('Model inputs'!U10),1)))),IF('Model inputs'!U23="","",'Model inputs'!U23),0)</f>
        <v>0</v>
      </c>
      <c r="G14" s="9">
        <f>IF(IF(IF(ISERROR(DATE(2027,3,1)&gt;=DATE(YEAR('Model inputs'!U10),MONTH('Model inputs'!U10),1)),DATE(2027,3,1)&gt;=DATE(YEAR('Model inputs'!U10),MONTH('Model inputs'!U10),1),IF(DATE(YEAR('Model inputs'!U10),MONTH('Model inputs'!U10),1)="","",DATE(2027,3,1)&gt;=DATE(YEAR('Model inputs'!U10),MONTH('Model inputs'!U10),1)))="",FALSE,IF(ISERROR(DATE(2027,3,1)&gt;=DATE(YEAR('Model inputs'!U10),MONTH('Model inputs'!U10),1)),DATE(2027,3,1)&gt;=DATE(YEAR('Model inputs'!U10),MONTH('Model inputs'!U10),1),IF(DATE(YEAR('Model inputs'!U10),MONTH('Model inputs'!U10),1)="","",DATE(2027,3,1)&gt;=DATE(YEAR('Model inputs'!U10),MONTH('Model inputs'!U10),1)))),IF('Model inputs'!U23="","",'Model inputs'!U23),0)</f>
        <v>0</v>
      </c>
      <c r="H14" s="9">
        <f>IF(IF(IF(ISERROR(DATE(2027,4,1)&gt;=DATE(YEAR('Model inputs'!U10),MONTH('Model inputs'!U10),1)),DATE(2027,4,1)&gt;=DATE(YEAR('Model inputs'!U10),MONTH('Model inputs'!U10),1),IF(DATE(YEAR('Model inputs'!U10),MONTH('Model inputs'!U10),1)="","",DATE(2027,4,1)&gt;=DATE(YEAR('Model inputs'!U10),MONTH('Model inputs'!U10),1)))="",FALSE,IF(ISERROR(DATE(2027,4,1)&gt;=DATE(YEAR('Model inputs'!U10),MONTH('Model inputs'!U10),1)),DATE(2027,4,1)&gt;=DATE(YEAR('Model inputs'!U10),MONTH('Model inputs'!U10),1),IF(DATE(YEAR('Model inputs'!U10),MONTH('Model inputs'!U10),1)="","",DATE(2027,4,1)&gt;=DATE(YEAR('Model inputs'!U10),MONTH('Model inputs'!U10),1)))),IF('Model inputs'!U23="","",'Model inputs'!U23),0)</f>
        <v>2000</v>
      </c>
      <c r="I14" s="9">
        <f>IF(IF(IF(ISERROR(DATE(2027,5,1)&gt;=DATE(YEAR('Model inputs'!U10),MONTH('Model inputs'!U10),1)),DATE(2027,5,1)&gt;=DATE(YEAR('Model inputs'!U10),MONTH('Model inputs'!U10),1),IF(DATE(YEAR('Model inputs'!U10),MONTH('Model inputs'!U10),1)="","",DATE(2027,5,1)&gt;=DATE(YEAR('Model inputs'!U10),MONTH('Model inputs'!U10),1)))="",FALSE,IF(ISERROR(DATE(2027,5,1)&gt;=DATE(YEAR('Model inputs'!U10),MONTH('Model inputs'!U10),1)),DATE(2027,5,1)&gt;=DATE(YEAR('Model inputs'!U10),MONTH('Model inputs'!U10),1),IF(DATE(YEAR('Model inputs'!U10),MONTH('Model inputs'!U10),1)="","",DATE(2027,5,1)&gt;=DATE(YEAR('Model inputs'!U10),MONTH('Model inputs'!U10),1)))),IF('Model inputs'!U23="","",'Model inputs'!U23),0)</f>
        <v>2000</v>
      </c>
      <c r="J14" s="9">
        <f>IF(IF(IF(ISERROR(DATE(2027,6,1)&gt;=DATE(YEAR('Model inputs'!U10),MONTH('Model inputs'!U10),1)),DATE(2027,6,1)&gt;=DATE(YEAR('Model inputs'!U10),MONTH('Model inputs'!U10),1),IF(DATE(YEAR('Model inputs'!U10),MONTH('Model inputs'!U10),1)="","",DATE(2027,6,1)&gt;=DATE(YEAR('Model inputs'!U10),MONTH('Model inputs'!U10),1)))="",FALSE,IF(ISERROR(DATE(2027,6,1)&gt;=DATE(YEAR('Model inputs'!U10),MONTH('Model inputs'!U10),1)),DATE(2027,6,1)&gt;=DATE(YEAR('Model inputs'!U10),MONTH('Model inputs'!U10),1),IF(DATE(YEAR('Model inputs'!U10),MONTH('Model inputs'!U10),1)="","",DATE(2027,6,1)&gt;=DATE(YEAR('Model inputs'!U10),MONTH('Model inputs'!U10),1)))),IF('Model inputs'!U23="","",'Model inputs'!U23),0)</f>
        <v>2000</v>
      </c>
      <c r="K14" s="9">
        <f>IF(IF(IF(ISERROR(DATE(2027,7,1)&gt;=DATE(YEAR('Model inputs'!U10),MONTH('Model inputs'!U10),1)),DATE(2027,7,1)&gt;=DATE(YEAR('Model inputs'!U10),MONTH('Model inputs'!U10),1),IF(DATE(YEAR('Model inputs'!U10),MONTH('Model inputs'!U10),1)="","",DATE(2027,7,1)&gt;=DATE(YEAR('Model inputs'!U10),MONTH('Model inputs'!U10),1)))="",FALSE,IF(ISERROR(DATE(2027,7,1)&gt;=DATE(YEAR('Model inputs'!U10),MONTH('Model inputs'!U10),1)),DATE(2027,7,1)&gt;=DATE(YEAR('Model inputs'!U10),MONTH('Model inputs'!U10),1),IF(DATE(YEAR('Model inputs'!U10),MONTH('Model inputs'!U10),1)="","",DATE(2027,7,1)&gt;=DATE(YEAR('Model inputs'!U10),MONTH('Model inputs'!U10),1)))),IF('Model inputs'!U23="","",'Model inputs'!U23),0)</f>
        <v>2000</v>
      </c>
      <c r="L14" s="9">
        <f>IF(IF(IF(ISERROR(DATE(2027,8,1)&gt;=DATE(YEAR('Model inputs'!U10),MONTH('Model inputs'!U10),1)),DATE(2027,8,1)&gt;=DATE(YEAR('Model inputs'!U10),MONTH('Model inputs'!U10),1),IF(DATE(YEAR('Model inputs'!U10),MONTH('Model inputs'!U10),1)="","",DATE(2027,8,1)&gt;=DATE(YEAR('Model inputs'!U10),MONTH('Model inputs'!U10),1)))="",FALSE,IF(ISERROR(DATE(2027,8,1)&gt;=DATE(YEAR('Model inputs'!U10),MONTH('Model inputs'!U10),1)),DATE(2027,8,1)&gt;=DATE(YEAR('Model inputs'!U10),MONTH('Model inputs'!U10),1),IF(DATE(YEAR('Model inputs'!U10),MONTH('Model inputs'!U10),1)="","",DATE(2027,8,1)&gt;=DATE(YEAR('Model inputs'!U10),MONTH('Model inputs'!U10),1)))),IF('Model inputs'!U23="","",'Model inputs'!U23),0)</f>
        <v>2000</v>
      </c>
      <c r="M14" s="9">
        <f>IF(IF(IF(ISERROR(DATE(2027,9,1)&gt;=DATE(YEAR('Model inputs'!U10),MONTH('Model inputs'!U10),1)),DATE(2027,9,1)&gt;=DATE(YEAR('Model inputs'!U10),MONTH('Model inputs'!U10),1),IF(DATE(YEAR('Model inputs'!U10),MONTH('Model inputs'!U10),1)="","",DATE(2027,9,1)&gt;=DATE(YEAR('Model inputs'!U10),MONTH('Model inputs'!U10),1)))="",FALSE,IF(ISERROR(DATE(2027,9,1)&gt;=DATE(YEAR('Model inputs'!U10),MONTH('Model inputs'!U10),1)),DATE(2027,9,1)&gt;=DATE(YEAR('Model inputs'!U10),MONTH('Model inputs'!U10),1),IF(DATE(YEAR('Model inputs'!U10),MONTH('Model inputs'!U10),1)="","",DATE(2027,9,1)&gt;=DATE(YEAR('Model inputs'!U10),MONTH('Model inputs'!U10),1)))),IF('Model inputs'!U23="","",'Model inputs'!U23),0)</f>
        <v>2000</v>
      </c>
      <c r="N14" s="9">
        <f>IF(IF(IF(ISERROR(DATE(2027,10,1)&gt;=DATE(YEAR('Model inputs'!U10),MONTH('Model inputs'!U10),1)),DATE(2027,10,1)&gt;=DATE(YEAR('Model inputs'!U10),MONTH('Model inputs'!U10),1),IF(DATE(YEAR('Model inputs'!U10),MONTH('Model inputs'!U10),1)="","",DATE(2027,10,1)&gt;=DATE(YEAR('Model inputs'!U10),MONTH('Model inputs'!U10),1)))="",FALSE,IF(ISERROR(DATE(2027,10,1)&gt;=DATE(YEAR('Model inputs'!U10),MONTH('Model inputs'!U10),1)),DATE(2027,10,1)&gt;=DATE(YEAR('Model inputs'!U10),MONTH('Model inputs'!U10),1),IF(DATE(YEAR('Model inputs'!U10),MONTH('Model inputs'!U10),1)="","",DATE(2027,10,1)&gt;=DATE(YEAR('Model inputs'!U10),MONTH('Model inputs'!U10),1)))),IF('Model inputs'!U23="","",'Model inputs'!U23),0)</f>
        <v>2000</v>
      </c>
      <c r="O14" s="9">
        <f>IF(IF(IF(ISERROR(DATE(2027,11,1)&gt;=DATE(YEAR('Model inputs'!U10),MONTH('Model inputs'!U10),1)),DATE(2027,11,1)&gt;=DATE(YEAR('Model inputs'!U10),MONTH('Model inputs'!U10),1),IF(DATE(YEAR('Model inputs'!U10),MONTH('Model inputs'!U10),1)="","",DATE(2027,11,1)&gt;=DATE(YEAR('Model inputs'!U10),MONTH('Model inputs'!U10),1)))="",FALSE,IF(ISERROR(DATE(2027,11,1)&gt;=DATE(YEAR('Model inputs'!U10),MONTH('Model inputs'!U10),1)),DATE(2027,11,1)&gt;=DATE(YEAR('Model inputs'!U10),MONTH('Model inputs'!U10),1),IF(DATE(YEAR('Model inputs'!U10),MONTH('Model inputs'!U10),1)="","",DATE(2027,11,1)&gt;=DATE(YEAR('Model inputs'!U10),MONTH('Model inputs'!U10),1)))),IF('Model inputs'!U23="","",'Model inputs'!U23),0)</f>
        <v>2000</v>
      </c>
      <c r="P14" s="9">
        <f>IF(IF(IF(ISERROR(DATE(2027,12,1)&gt;=DATE(YEAR('Model inputs'!U10),MONTH('Model inputs'!U10),1)),DATE(2027,12,1)&gt;=DATE(YEAR('Model inputs'!U10),MONTH('Model inputs'!U10),1),IF(DATE(YEAR('Model inputs'!U10),MONTH('Model inputs'!U10),1)="","",DATE(2027,12,1)&gt;=DATE(YEAR('Model inputs'!U10),MONTH('Model inputs'!U10),1)))="",FALSE,IF(ISERROR(DATE(2027,12,1)&gt;=DATE(YEAR('Model inputs'!U10),MONTH('Model inputs'!U10),1)),DATE(2027,12,1)&gt;=DATE(YEAR('Model inputs'!U10),MONTH('Model inputs'!U10),1),IF(DATE(YEAR('Model inputs'!U10),MONTH('Model inputs'!U10),1)="","",DATE(2027,12,1)&gt;=DATE(YEAR('Model inputs'!U10),MONTH('Model inputs'!U10),1)))),IF('Model inputs'!U23="","",'Model inputs'!U23),0)</f>
        <v>2000</v>
      </c>
      <c r="Q14" s="9">
        <f>IF(IF(IF(ISERROR(DATE(2028,1,1)&gt;=DATE(YEAR('Model inputs'!U10),MONTH('Model inputs'!U10),1)),DATE(2028,1,1)&gt;=DATE(YEAR('Model inputs'!U10),MONTH('Model inputs'!U10),1),IF(DATE(YEAR('Model inputs'!U10),MONTH('Model inputs'!U10),1)="","",DATE(2028,1,1)&gt;=DATE(YEAR('Model inputs'!U10),MONTH('Model inputs'!U10),1)))="",FALSE,IF(ISERROR(DATE(2028,1,1)&gt;=DATE(YEAR('Model inputs'!U10),MONTH('Model inputs'!U10),1)),DATE(2028,1,1)&gt;=DATE(YEAR('Model inputs'!U10),MONTH('Model inputs'!U10),1),IF(DATE(YEAR('Model inputs'!U10),MONTH('Model inputs'!U10),1)="","",DATE(2028,1,1)&gt;=DATE(YEAR('Model inputs'!U10),MONTH('Model inputs'!U10),1)))),IF('Model inputs'!U23="","",'Model inputs'!U23),0)</f>
        <v>2000</v>
      </c>
      <c r="R14" s="9">
        <f>IF(IF(IF(ISERROR(DATE(2028,2,1)&gt;=DATE(YEAR('Model inputs'!U10),MONTH('Model inputs'!U10),1)),DATE(2028,2,1)&gt;=DATE(YEAR('Model inputs'!U10),MONTH('Model inputs'!U10),1),IF(DATE(YEAR('Model inputs'!U10),MONTH('Model inputs'!U10),1)="","",DATE(2028,2,1)&gt;=DATE(YEAR('Model inputs'!U10),MONTH('Model inputs'!U10),1)))="",FALSE,IF(ISERROR(DATE(2028,2,1)&gt;=DATE(YEAR('Model inputs'!U10),MONTH('Model inputs'!U10),1)),DATE(2028,2,1)&gt;=DATE(YEAR('Model inputs'!U10),MONTH('Model inputs'!U10),1),IF(DATE(YEAR('Model inputs'!U10),MONTH('Model inputs'!U10),1)="","",DATE(2028,2,1)&gt;=DATE(YEAR('Model inputs'!U10),MONTH('Model inputs'!U10),1)))),IF('Model inputs'!U23="","",'Model inputs'!U23),0)</f>
        <v>2000</v>
      </c>
      <c r="S14" s="9">
        <f>IF(IF(IF(ISERROR(DATE(2028,3,1)&gt;=DATE(YEAR('Model inputs'!U10),MONTH('Model inputs'!U10),1)),DATE(2028,3,1)&gt;=DATE(YEAR('Model inputs'!U10),MONTH('Model inputs'!U10),1),IF(DATE(YEAR('Model inputs'!U10),MONTH('Model inputs'!U10),1)="","",DATE(2028,3,1)&gt;=DATE(YEAR('Model inputs'!U10),MONTH('Model inputs'!U10),1)))="",FALSE,IF(ISERROR(DATE(2028,3,1)&gt;=DATE(YEAR('Model inputs'!U10),MONTH('Model inputs'!U10),1)),DATE(2028,3,1)&gt;=DATE(YEAR('Model inputs'!U10),MONTH('Model inputs'!U10),1),IF(DATE(YEAR('Model inputs'!U10),MONTH('Model inputs'!U10),1)="","",DATE(2028,3,1)&gt;=DATE(YEAR('Model inputs'!U10),MONTH('Model inputs'!U10),1)))),IF('Model inputs'!U23="","",'Model inputs'!U23),0)</f>
        <v>2000</v>
      </c>
    </row>
    <row r="15" outlineLevel="1">
      <c r="A15" t="inlineStr" s="13">
        <is>
          <t xml:space="preserve">Placeholder founder 2</t>
        </is>
      </c>
      <c r="B15" s="9">
        <f>IF(IF(IF(ISERROR(DATE(2026,10,1)&gt;=DATE(YEAR('Model inputs'!U11),MONTH('Model inputs'!U11),1)),DATE(2026,10,1)&gt;=DATE(YEAR('Model inputs'!U11),MONTH('Model inputs'!U11),1),IF(DATE(YEAR('Model inputs'!U11),MONTH('Model inputs'!U11),1)="","",DATE(2026,10,1)&gt;=DATE(YEAR('Model inputs'!U11),MONTH('Model inputs'!U11),1)))="",FALSE,IF(ISERROR(DATE(2026,10,1)&gt;=DATE(YEAR('Model inputs'!U11),MONTH('Model inputs'!U11),1)),DATE(2026,10,1)&gt;=DATE(YEAR('Model inputs'!U11),MONTH('Model inputs'!U11),1),IF(DATE(YEAR('Model inputs'!U11),MONTH('Model inputs'!U11),1)="","",DATE(2026,10,1)&gt;=DATE(YEAR('Model inputs'!U11),MONTH('Model inputs'!U11),1)))),IF('Model inputs'!U24="","",'Model inputs'!U24),0)</f>
        <v>0</v>
      </c>
      <c r="C15" s="9">
        <f>IF(IF(IF(ISERROR(DATE(2026,11,1)&gt;=DATE(YEAR('Model inputs'!U11),MONTH('Model inputs'!U11),1)),DATE(2026,11,1)&gt;=DATE(YEAR('Model inputs'!U11),MONTH('Model inputs'!U11),1),IF(DATE(YEAR('Model inputs'!U11),MONTH('Model inputs'!U11),1)="","",DATE(2026,11,1)&gt;=DATE(YEAR('Model inputs'!U11),MONTH('Model inputs'!U11),1)))="",FALSE,IF(ISERROR(DATE(2026,11,1)&gt;=DATE(YEAR('Model inputs'!U11),MONTH('Model inputs'!U11),1)),DATE(2026,11,1)&gt;=DATE(YEAR('Model inputs'!U11),MONTH('Model inputs'!U11),1),IF(DATE(YEAR('Model inputs'!U11),MONTH('Model inputs'!U11),1)="","",DATE(2026,11,1)&gt;=DATE(YEAR('Model inputs'!U11),MONTH('Model inputs'!U11),1)))),IF('Model inputs'!U24="","",'Model inputs'!U24),0)</f>
        <v>0</v>
      </c>
      <c r="D15" s="9">
        <f>IF(IF(IF(ISERROR(DATE(2026,12,1)&gt;=DATE(YEAR('Model inputs'!U11),MONTH('Model inputs'!U11),1)),DATE(2026,12,1)&gt;=DATE(YEAR('Model inputs'!U11),MONTH('Model inputs'!U11),1),IF(DATE(YEAR('Model inputs'!U11),MONTH('Model inputs'!U11),1)="","",DATE(2026,12,1)&gt;=DATE(YEAR('Model inputs'!U11),MONTH('Model inputs'!U11),1)))="",FALSE,IF(ISERROR(DATE(2026,12,1)&gt;=DATE(YEAR('Model inputs'!U11),MONTH('Model inputs'!U11),1)),DATE(2026,12,1)&gt;=DATE(YEAR('Model inputs'!U11),MONTH('Model inputs'!U11),1),IF(DATE(YEAR('Model inputs'!U11),MONTH('Model inputs'!U11),1)="","",DATE(2026,12,1)&gt;=DATE(YEAR('Model inputs'!U11),MONTH('Model inputs'!U11),1)))),IF('Model inputs'!U24="","",'Model inputs'!U24),0)</f>
        <v>0</v>
      </c>
      <c r="E15" s="9">
        <f>IF(IF(IF(ISERROR(DATE(2027,1,1)&gt;=DATE(YEAR('Model inputs'!U11),MONTH('Model inputs'!U11),1)),DATE(2027,1,1)&gt;=DATE(YEAR('Model inputs'!U11),MONTH('Model inputs'!U11),1),IF(DATE(YEAR('Model inputs'!U11),MONTH('Model inputs'!U11),1)="","",DATE(2027,1,1)&gt;=DATE(YEAR('Model inputs'!U11),MONTH('Model inputs'!U11),1)))="",FALSE,IF(ISERROR(DATE(2027,1,1)&gt;=DATE(YEAR('Model inputs'!U11),MONTH('Model inputs'!U11),1)),DATE(2027,1,1)&gt;=DATE(YEAR('Model inputs'!U11),MONTH('Model inputs'!U11),1),IF(DATE(YEAR('Model inputs'!U11),MONTH('Model inputs'!U11),1)="","",DATE(2027,1,1)&gt;=DATE(YEAR('Model inputs'!U11),MONTH('Model inputs'!U11),1)))),IF('Model inputs'!U24="","",'Model inputs'!U24),0)</f>
        <v>0</v>
      </c>
      <c r="F15" s="9">
        <f>IF(IF(IF(ISERROR(DATE(2027,2,1)&gt;=DATE(YEAR('Model inputs'!U11),MONTH('Model inputs'!U11),1)),DATE(2027,2,1)&gt;=DATE(YEAR('Model inputs'!U11),MONTH('Model inputs'!U11),1),IF(DATE(YEAR('Model inputs'!U11),MONTH('Model inputs'!U11),1)="","",DATE(2027,2,1)&gt;=DATE(YEAR('Model inputs'!U11),MONTH('Model inputs'!U11),1)))="",FALSE,IF(ISERROR(DATE(2027,2,1)&gt;=DATE(YEAR('Model inputs'!U11),MONTH('Model inputs'!U11),1)),DATE(2027,2,1)&gt;=DATE(YEAR('Model inputs'!U11),MONTH('Model inputs'!U11),1),IF(DATE(YEAR('Model inputs'!U11),MONTH('Model inputs'!U11),1)="","",DATE(2027,2,1)&gt;=DATE(YEAR('Model inputs'!U11),MONTH('Model inputs'!U11),1)))),IF('Model inputs'!U24="","",'Model inputs'!U24),0)</f>
        <v>0</v>
      </c>
      <c r="G15" s="9">
        <f>IF(IF(IF(ISERROR(DATE(2027,3,1)&gt;=DATE(YEAR('Model inputs'!U11),MONTH('Model inputs'!U11),1)),DATE(2027,3,1)&gt;=DATE(YEAR('Model inputs'!U11),MONTH('Model inputs'!U11),1),IF(DATE(YEAR('Model inputs'!U11),MONTH('Model inputs'!U11),1)="","",DATE(2027,3,1)&gt;=DATE(YEAR('Model inputs'!U11),MONTH('Model inputs'!U11),1)))="",FALSE,IF(ISERROR(DATE(2027,3,1)&gt;=DATE(YEAR('Model inputs'!U11),MONTH('Model inputs'!U11),1)),DATE(2027,3,1)&gt;=DATE(YEAR('Model inputs'!U11),MONTH('Model inputs'!U11),1),IF(DATE(YEAR('Model inputs'!U11),MONTH('Model inputs'!U11),1)="","",DATE(2027,3,1)&gt;=DATE(YEAR('Model inputs'!U11),MONTH('Model inputs'!U11),1)))),IF('Model inputs'!U24="","",'Model inputs'!U24),0)</f>
        <v>0</v>
      </c>
      <c r="H15" s="9">
        <f>IF(IF(IF(ISERROR(DATE(2027,4,1)&gt;=DATE(YEAR('Model inputs'!U11),MONTH('Model inputs'!U11),1)),DATE(2027,4,1)&gt;=DATE(YEAR('Model inputs'!U11),MONTH('Model inputs'!U11),1),IF(DATE(YEAR('Model inputs'!U11),MONTH('Model inputs'!U11),1)="","",DATE(2027,4,1)&gt;=DATE(YEAR('Model inputs'!U11),MONTH('Model inputs'!U11),1)))="",FALSE,IF(ISERROR(DATE(2027,4,1)&gt;=DATE(YEAR('Model inputs'!U11),MONTH('Model inputs'!U11),1)),DATE(2027,4,1)&gt;=DATE(YEAR('Model inputs'!U11),MONTH('Model inputs'!U11),1),IF(DATE(YEAR('Model inputs'!U11),MONTH('Model inputs'!U11),1)="","",DATE(2027,4,1)&gt;=DATE(YEAR('Model inputs'!U11),MONTH('Model inputs'!U11),1)))),IF('Model inputs'!U24="","",'Model inputs'!U24),0)</f>
        <v>2000</v>
      </c>
      <c r="I15" s="9">
        <f>IF(IF(IF(ISERROR(DATE(2027,5,1)&gt;=DATE(YEAR('Model inputs'!U11),MONTH('Model inputs'!U11),1)),DATE(2027,5,1)&gt;=DATE(YEAR('Model inputs'!U11),MONTH('Model inputs'!U11),1),IF(DATE(YEAR('Model inputs'!U11),MONTH('Model inputs'!U11),1)="","",DATE(2027,5,1)&gt;=DATE(YEAR('Model inputs'!U11),MONTH('Model inputs'!U11),1)))="",FALSE,IF(ISERROR(DATE(2027,5,1)&gt;=DATE(YEAR('Model inputs'!U11),MONTH('Model inputs'!U11),1)),DATE(2027,5,1)&gt;=DATE(YEAR('Model inputs'!U11),MONTH('Model inputs'!U11),1),IF(DATE(YEAR('Model inputs'!U11),MONTH('Model inputs'!U11),1)="","",DATE(2027,5,1)&gt;=DATE(YEAR('Model inputs'!U11),MONTH('Model inputs'!U11),1)))),IF('Model inputs'!U24="","",'Model inputs'!U24),0)</f>
        <v>2000</v>
      </c>
      <c r="J15" s="9">
        <f>IF(IF(IF(ISERROR(DATE(2027,6,1)&gt;=DATE(YEAR('Model inputs'!U11),MONTH('Model inputs'!U11),1)),DATE(2027,6,1)&gt;=DATE(YEAR('Model inputs'!U11),MONTH('Model inputs'!U11),1),IF(DATE(YEAR('Model inputs'!U11),MONTH('Model inputs'!U11),1)="","",DATE(2027,6,1)&gt;=DATE(YEAR('Model inputs'!U11),MONTH('Model inputs'!U11),1)))="",FALSE,IF(ISERROR(DATE(2027,6,1)&gt;=DATE(YEAR('Model inputs'!U11),MONTH('Model inputs'!U11),1)),DATE(2027,6,1)&gt;=DATE(YEAR('Model inputs'!U11),MONTH('Model inputs'!U11),1),IF(DATE(YEAR('Model inputs'!U11),MONTH('Model inputs'!U11),1)="","",DATE(2027,6,1)&gt;=DATE(YEAR('Model inputs'!U11),MONTH('Model inputs'!U11),1)))),IF('Model inputs'!U24="","",'Model inputs'!U24),0)</f>
        <v>2000</v>
      </c>
      <c r="K15" s="9">
        <f>IF(IF(IF(ISERROR(DATE(2027,7,1)&gt;=DATE(YEAR('Model inputs'!U11),MONTH('Model inputs'!U11),1)),DATE(2027,7,1)&gt;=DATE(YEAR('Model inputs'!U11),MONTH('Model inputs'!U11),1),IF(DATE(YEAR('Model inputs'!U11),MONTH('Model inputs'!U11),1)="","",DATE(2027,7,1)&gt;=DATE(YEAR('Model inputs'!U11),MONTH('Model inputs'!U11),1)))="",FALSE,IF(ISERROR(DATE(2027,7,1)&gt;=DATE(YEAR('Model inputs'!U11),MONTH('Model inputs'!U11),1)),DATE(2027,7,1)&gt;=DATE(YEAR('Model inputs'!U11),MONTH('Model inputs'!U11),1),IF(DATE(YEAR('Model inputs'!U11),MONTH('Model inputs'!U11),1)="","",DATE(2027,7,1)&gt;=DATE(YEAR('Model inputs'!U11),MONTH('Model inputs'!U11),1)))),IF('Model inputs'!U24="","",'Model inputs'!U24),0)</f>
        <v>2000</v>
      </c>
      <c r="L15" s="9">
        <f>IF(IF(IF(ISERROR(DATE(2027,8,1)&gt;=DATE(YEAR('Model inputs'!U11),MONTH('Model inputs'!U11),1)),DATE(2027,8,1)&gt;=DATE(YEAR('Model inputs'!U11),MONTH('Model inputs'!U11),1),IF(DATE(YEAR('Model inputs'!U11),MONTH('Model inputs'!U11),1)="","",DATE(2027,8,1)&gt;=DATE(YEAR('Model inputs'!U11),MONTH('Model inputs'!U11),1)))="",FALSE,IF(ISERROR(DATE(2027,8,1)&gt;=DATE(YEAR('Model inputs'!U11),MONTH('Model inputs'!U11),1)),DATE(2027,8,1)&gt;=DATE(YEAR('Model inputs'!U11),MONTH('Model inputs'!U11),1),IF(DATE(YEAR('Model inputs'!U11),MONTH('Model inputs'!U11),1)="","",DATE(2027,8,1)&gt;=DATE(YEAR('Model inputs'!U11),MONTH('Model inputs'!U11),1)))),IF('Model inputs'!U24="","",'Model inputs'!U24),0)</f>
        <v>2000</v>
      </c>
      <c r="M15" s="9">
        <f>IF(IF(IF(ISERROR(DATE(2027,9,1)&gt;=DATE(YEAR('Model inputs'!U11),MONTH('Model inputs'!U11),1)),DATE(2027,9,1)&gt;=DATE(YEAR('Model inputs'!U11),MONTH('Model inputs'!U11),1),IF(DATE(YEAR('Model inputs'!U11),MONTH('Model inputs'!U11),1)="","",DATE(2027,9,1)&gt;=DATE(YEAR('Model inputs'!U11),MONTH('Model inputs'!U11),1)))="",FALSE,IF(ISERROR(DATE(2027,9,1)&gt;=DATE(YEAR('Model inputs'!U11),MONTH('Model inputs'!U11),1)),DATE(2027,9,1)&gt;=DATE(YEAR('Model inputs'!U11),MONTH('Model inputs'!U11),1),IF(DATE(YEAR('Model inputs'!U11),MONTH('Model inputs'!U11),1)="","",DATE(2027,9,1)&gt;=DATE(YEAR('Model inputs'!U11),MONTH('Model inputs'!U11),1)))),IF('Model inputs'!U24="","",'Model inputs'!U24),0)</f>
        <v>2000</v>
      </c>
      <c r="N15" s="9">
        <f>IF(IF(IF(ISERROR(DATE(2027,10,1)&gt;=DATE(YEAR('Model inputs'!U11),MONTH('Model inputs'!U11),1)),DATE(2027,10,1)&gt;=DATE(YEAR('Model inputs'!U11),MONTH('Model inputs'!U11),1),IF(DATE(YEAR('Model inputs'!U11),MONTH('Model inputs'!U11),1)="","",DATE(2027,10,1)&gt;=DATE(YEAR('Model inputs'!U11),MONTH('Model inputs'!U11),1)))="",FALSE,IF(ISERROR(DATE(2027,10,1)&gt;=DATE(YEAR('Model inputs'!U11),MONTH('Model inputs'!U11),1)),DATE(2027,10,1)&gt;=DATE(YEAR('Model inputs'!U11),MONTH('Model inputs'!U11),1),IF(DATE(YEAR('Model inputs'!U11),MONTH('Model inputs'!U11),1)="","",DATE(2027,10,1)&gt;=DATE(YEAR('Model inputs'!U11),MONTH('Model inputs'!U11),1)))),IF('Model inputs'!U24="","",'Model inputs'!U24),0)</f>
        <v>2000</v>
      </c>
      <c r="O15" s="9">
        <f>IF(IF(IF(ISERROR(DATE(2027,11,1)&gt;=DATE(YEAR('Model inputs'!U11),MONTH('Model inputs'!U11),1)),DATE(2027,11,1)&gt;=DATE(YEAR('Model inputs'!U11),MONTH('Model inputs'!U11),1),IF(DATE(YEAR('Model inputs'!U11),MONTH('Model inputs'!U11),1)="","",DATE(2027,11,1)&gt;=DATE(YEAR('Model inputs'!U11),MONTH('Model inputs'!U11),1)))="",FALSE,IF(ISERROR(DATE(2027,11,1)&gt;=DATE(YEAR('Model inputs'!U11),MONTH('Model inputs'!U11),1)),DATE(2027,11,1)&gt;=DATE(YEAR('Model inputs'!U11),MONTH('Model inputs'!U11),1),IF(DATE(YEAR('Model inputs'!U11),MONTH('Model inputs'!U11),1)="","",DATE(2027,11,1)&gt;=DATE(YEAR('Model inputs'!U11),MONTH('Model inputs'!U11),1)))),IF('Model inputs'!U24="","",'Model inputs'!U24),0)</f>
        <v>2000</v>
      </c>
      <c r="P15" s="9">
        <f>IF(IF(IF(ISERROR(DATE(2027,12,1)&gt;=DATE(YEAR('Model inputs'!U11),MONTH('Model inputs'!U11),1)),DATE(2027,12,1)&gt;=DATE(YEAR('Model inputs'!U11),MONTH('Model inputs'!U11),1),IF(DATE(YEAR('Model inputs'!U11),MONTH('Model inputs'!U11),1)="","",DATE(2027,12,1)&gt;=DATE(YEAR('Model inputs'!U11),MONTH('Model inputs'!U11),1)))="",FALSE,IF(ISERROR(DATE(2027,12,1)&gt;=DATE(YEAR('Model inputs'!U11),MONTH('Model inputs'!U11),1)),DATE(2027,12,1)&gt;=DATE(YEAR('Model inputs'!U11),MONTH('Model inputs'!U11),1),IF(DATE(YEAR('Model inputs'!U11),MONTH('Model inputs'!U11),1)="","",DATE(2027,12,1)&gt;=DATE(YEAR('Model inputs'!U11),MONTH('Model inputs'!U11),1)))),IF('Model inputs'!U24="","",'Model inputs'!U24),0)</f>
        <v>2000</v>
      </c>
      <c r="Q15" s="9">
        <f>IF(IF(IF(ISERROR(DATE(2028,1,1)&gt;=DATE(YEAR('Model inputs'!U11),MONTH('Model inputs'!U11),1)),DATE(2028,1,1)&gt;=DATE(YEAR('Model inputs'!U11),MONTH('Model inputs'!U11),1),IF(DATE(YEAR('Model inputs'!U11),MONTH('Model inputs'!U11),1)="","",DATE(2028,1,1)&gt;=DATE(YEAR('Model inputs'!U11),MONTH('Model inputs'!U11),1)))="",FALSE,IF(ISERROR(DATE(2028,1,1)&gt;=DATE(YEAR('Model inputs'!U11),MONTH('Model inputs'!U11),1)),DATE(2028,1,1)&gt;=DATE(YEAR('Model inputs'!U11),MONTH('Model inputs'!U11),1),IF(DATE(YEAR('Model inputs'!U11),MONTH('Model inputs'!U11),1)="","",DATE(2028,1,1)&gt;=DATE(YEAR('Model inputs'!U11),MONTH('Model inputs'!U11),1)))),IF('Model inputs'!U24="","",'Model inputs'!U24),0)</f>
        <v>2000</v>
      </c>
      <c r="R15" s="9">
        <f>IF(IF(IF(ISERROR(DATE(2028,2,1)&gt;=DATE(YEAR('Model inputs'!U11),MONTH('Model inputs'!U11),1)),DATE(2028,2,1)&gt;=DATE(YEAR('Model inputs'!U11),MONTH('Model inputs'!U11),1),IF(DATE(YEAR('Model inputs'!U11),MONTH('Model inputs'!U11),1)="","",DATE(2028,2,1)&gt;=DATE(YEAR('Model inputs'!U11),MONTH('Model inputs'!U11),1)))="",FALSE,IF(ISERROR(DATE(2028,2,1)&gt;=DATE(YEAR('Model inputs'!U11),MONTH('Model inputs'!U11),1)),DATE(2028,2,1)&gt;=DATE(YEAR('Model inputs'!U11),MONTH('Model inputs'!U11),1),IF(DATE(YEAR('Model inputs'!U11),MONTH('Model inputs'!U11),1)="","",DATE(2028,2,1)&gt;=DATE(YEAR('Model inputs'!U11),MONTH('Model inputs'!U11),1)))),IF('Model inputs'!U24="","",'Model inputs'!U24),0)</f>
        <v>2000</v>
      </c>
      <c r="S15" s="9">
        <f>IF(IF(IF(ISERROR(DATE(2028,3,1)&gt;=DATE(YEAR('Model inputs'!U11),MONTH('Model inputs'!U11),1)),DATE(2028,3,1)&gt;=DATE(YEAR('Model inputs'!U11),MONTH('Model inputs'!U11),1),IF(DATE(YEAR('Model inputs'!U11),MONTH('Model inputs'!U11),1)="","",DATE(2028,3,1)&gt;=DATE(YEAR('Model inputs'!U11),MONTH('Model inputs'!U11),1)))="",FALSE,IF(ISERROR(DATE(2028,3,1)&gt;=DATE(YEAR('Model inputs'!U11),MONTH('Model inputs'!U11),1)),DATE(2028,3,1)&gt;=DATE(YEAR('Model inputs'!U11),MONTH('Model inputs'!U11),1),IF(DATE(YEAR('Model inputs'!U11),MONTH('Model inputs'!U11),1)="","",DATE(2028,3,1)&gt;=DATE(YEAR('Model inputs'!U11),MONTH('Model inputs'!U11),1)))),IF('Model inputs'!U24="","",'Model inputs'!U24),0)</f>
        <v>2000</v>
      </c>
    </row>
    <row r="16" outlineLevel="1">
      <c r="A16" t="inlineStr" s="13">
        <is>
          <t xml:space="preserve">Placeholder founder 3</t>
        </is>
      </c>
      <c r="B16" s="9">
        <f>IF(IF(IF(ISERROR(DATE(2026,10,1)&gt;=DATE(YEAR('Model inputs'!U12),MONTH('Model inputs'!U12),1)),DATE(2026,10,1)&gt;=DATE(YEAR('Model inputs'!U12),MONTH('Model inputs'!U12),1),IF(DATE(YEAR('Model inputs'!U12),MONTH('Model inputs'!U12),1)="","",DATE(2026,10,1)&gt;=DATE(YEAR('Model inputs'!U12),MONTH('Model inputs'!U12),1)))="",FALSE,IF(ISERROR(DATE(2026,10,1)&gt;=DATE(YEAR('Model inputs'!U12),MONTH('Model inputs'!U12),1)),DATE(2026,10,1)&gt;=DATE(YEAR('Model inputs'!U12),MONTH('Model inputs'!U12),1),IF(DATE(YEAR('Model inputs'!U12),MONTH('Model inputs'!U12),1)="","",DATE(2026,10,1)&gt;=DATE(YEAR('Model inputs'!U12),MONTH('Model inputs'!U12),1)))),IF('Model inputs'!U25="","",'Model inputs'!U25),0)</f>
        <v>0</v>
      </c>
      <c r="C16" s="9">
        <f>IF(IF(IF(ISERROR(DATE(2026,11,1)&gt;=DATE(YEAR('Model inputs'!U12),MONTH('Model inputs'!U12),1)),DATE(2026,11,1)&gt;=DATE(YEAR('Model inputs'!U12),MONTH('Model inputs'!U12),1),IF(DATE(YEAR('Model inputs'!U12),MONTH('Model inputs'!U12),1)="","",DATE(2026,11,1)&gt;=DATE(YEAR('Model inputs'!U12),MONTH('Model inputs'!U12),1)))="",FALSE,IF(ISERROR(DATE(2026,11,1)&gt;=DATE(YEAR('Model inputs'!U12),MONTH('Model inputs'!U12),1)),DATE(2026,11,1)&gt;=DATE(YEAR('Model inputs'!U12),MONTH('Model inputs'!U12),1),IF(DATE(YEAR('Model inputs'!U12),MONTH('Model inputs'!U12),1)="","",DATE(2026,11,1)&gt;=DATE(YEAR('Model inputs'!U12),MONTH('Model inputs'!U12),1)))),IF('Model inputs'!U25="","",'Model inputs'!U25),0)</f>
        <v>0</v>
      </c>
      <c r="D16" s="9">
        <f>IF(IF(IF(ISERROR(DATE(2026,12,1)&gt;=DATE(YEAR('Model inputs'!U12),MONTH('Model inputs'!U12),1)),DATE(2026,12,1)&gt;=DATE(YEAR('Model inputs'!U12),MONTH('Model inputs'!U12),1),IF(DATE(YEAR('Model inputs'!U12),MONTH('Model inputs'!U12),1)="","",DATE(2026,12,1)&gt;=DATE(YEAR('Model inputs'!U12),MONTH('Model inputs'!U12),1)))="",FALSE,IF(ISERROR(DATE(2026,12,1)&gt;=DATE(YEAR('Model inputs'!U12),MONTH('Model inputs'!U12),1)),DATE(2026,12,1)&gt;=DATE(YEAR('Model inputs'!U12),MONTH('Model inputs'!U12),1),IF(DATE(YEAR('Model inputs'!U12),MONTH('Model inputs'!U12),1)="","",DATE(2026,12,1)&gt;=DATE(YEAR('Model inputs'!U12),MONTH('Model inputs'!U12),1)))),IF('Model inputs'!U25="","",'Model inputs'!U25),0)</f>
        <v>0</v>
      </c>
      <c r="E16" s="9">
        <f>IF(IF(IF(ISERROR(DATE(2027,1,1)&gt;=DATE(YEAR('Model inputs'!U12),MONTH('Model inputs'!U12),1)),DATE(2027,1,1)&gt;=DATE(YEAR('Model inputs'!U12),MONTH('Model inputs'!U12),1),IF(DATE(YEAR('Model inputs'!U12),MONTH('Model inputs'!U12),1)="","",DATE(2027,1,1)&gt;=DATE(YEAR('Model inputs'!U12),MONTH('Model inputs'!U12),1)))="",FALSE,IF(ISERROR(DATE(2027,1,1)&gt;=DATE(YEAR('Model inputs'!U12),MONTH('Model inputs'!U12),1)),DATE(2027,1,1)&gt;=DATE(YEAR('Model inputs'!U12),MONTH('Model inputs'!U12),1),IF(DATE(YEAR('Model inputs'!U12),MONTH('Model inputs'!U12),1)="","",DATE(2027,1,1)&gt;=DATE(YEAR('Model inputs'!U12),MONTH('Model inputs'!U12),1)))),IF('Model inputs'!U25="","",'Model inputs'!U25),0)</f>
        <v>0</v>
      </c>
      <c r="F16" s="9">
        <f>IF(IF(IF(ISERROR(DATE(2027,2,1)&gt;=DATE(YEAR('Model inputs'!U12),MONTH('Model inputs'!U12),1)),DATE(2027,2,1)&gt;=DATE(YEAR('Model inputs'!U12),MONTH('Model inputs'!U12),1),IF(DATE(YEAR('Model inputs'!U12),MONTH('Model inputs'!U12),1)="","",DATE(2027,2,1)&gt;=DATE(YEAR('Model inputs'!U12),MONTH('Model inputs'!U12),1)))="",FALSE,IF(ISERROR(DATE(2027,2,1)&gt;=DATE(YEAR('Model inputs'!U12),MONTH('Model inputs'!U12),1)),DATE(2027,2,1)&gt;=DATE(YEAR('Model inputs'!U12),MONTH('Model inputs'!U12),1),IF(DATE(YEAR('Model inputs'!U12),MONTH('Model inputs'!U12),1)="","",DATE(2027,2,1)&gt;=DATE(YEAR('Model inputs'!U12),MONTH('Model inputs'!U12),1)))),IF('Model inputs'!U25="","",'Model inputs'!U25),0)</f>
        <v>0</v>
      </c>
      <c r="G16" s="9">
        <f>IF(IF(IF(ISERROR(DATE(2027,3,1)&gt;=DATE(YEAR('Model inputs'!U12),MONTH('Model inputs'!U12),1)),DATE(2027,3,1)&gt;=DATE(YEAR('Model inputs'!U12),MONTH('Model inputs'!U12),1),IF(DATE(YEAR('Model inputs'!U12),MONTH('Model inputs'!U12),1)="","",DATE(2027,3,1)&gt;=DATE(YEAR('Model inputs'!U12),MONTH('Model inputs'!U12),1)))="",FALSE,IF(ISERROR(DATE(2027,3,1)&gt;=DATE(YEAR('Model inputs'!U12),MONTH('Model inputs'!U12),1)),DATE(2027,3,1)&gt;=DATE(YEAR('Model inputs'!U12),MONTH('Model inputs'!U12),1),IF(DATE(YEAR('Model inputs'!U12),MONTH('Model inputs'!U12),1)="","",DATE(2027,3,1)&gt;=DATE(YEAR('Model inputs'!U12),MONTH('Model inputs'!U12),1)))),IF('Model inputs'!U25="","",'Model inputs'!U25),0)</f>
        <v>0</v>
      </c>
      <c r="H16" s="9">
        <f>IF(IF(IF(ISERROR(DATE(2027,4,1)&gt;=DATE(YEAR('Model inputs'!U12),MONTH('Model inputs'!U12),1)),DATE(2027,4,1)&gt;=DATE(YEAR('Model inputs'!U12),MONTH('Model inputs'!U12),1),IF(DATE(YEAR('Model inputs'!U12),MONTH('Model inputs'!U12),1)="","",DATE(2027,4,1)&gt;=DATE(YEAR('Model inputs'!U12),MONTH('Model inputs'!U12),1)))="",FALSE,IF(ISERROR(DATE(2027,4,1)&gt;=DATE(YEAR('Model inputs'!U12),MONTH('Model inputs'!U12),1)),DATE(2027,4,1)&gt;=DATE(YEAR('Model inputs'!U12),MONTH('Model inputs'!U12),1),IF(DATE(YEAR('Model inputs'!U12),MONTH('Model inputs'!U12),1)="","",DATE(2027,4,1)&gt;=DATE(YEAR('Model inputs'!U12),MONTH('Model inputs'!U12),1)))),IF('Model inputs'!U25="","",'Model inputs'!U25),0)</f>
        <v>2000</v>
      </c>
      <c r="I16" s="9">
        <f>IF(IF(IF(ISERROR(DATE(2027,5,1)&gt;=DATE(YEAR('Model inputs'!U12),MONTH('Model inputs'!U12),1)),DATE(2027,5,1)&gt;=DATE(YEAR('Model inputs'!U12),MONTH('Model inputs'!U12),1),IF(DATE(YEAR('Model inputs'!U12),MONTH('Model inputs'!U12),1)="","",DATE(2027,5,1)&gt;=DATE(YEAR('Model inputs'!U12),MONTH('Model inputs'!U12),1)))="",FALSE,IF(ISERROR(DATE(2027,5,1)&gt;=DATE(YEAR('Model inputs'!U12),MONTH('Model inputs'!U12),1)),DATE(2027,5,1)&gt;=DATE(YEAR('Model inputs'!U12),MONTH('Model inputs'!U12),1),IF(DATE(YEAR('Model inputs'!U12),MONTH('Model inputs'!U12),1)="","",DATE(2027,5,1)&gt;=DATE(YEAR('Model inputs'!U12),MONTH('Model inputs'!U12),1)))),IF('Model inputs'!U25="","",'Model inputs'!U25),0)</f>
        <v>2000</v>
      </c>
      <c r="J16" s="9">
        <f>IF(IF(IF(ISERROR(DATE(2027,6,1)&gt;=DATE(YEAR('Model inputs'!U12),MONTH('Model inputs'!U12),1)),DATE(2027,6,1)&gt;=DATE(YEAR('Model inputs'!U12),MONTH('Model inputs'!U12),1),IF(DATE(YEAR('Model inputs'!U12),MONTH('Model inputs'!U12),1)="","",DATE(2027,6,1)&gt;=DATE(YEAR('Model inputs'!U12),MONTH('Model inputs'!U12),1)))="",FALSE,IF(ISERROR(DATE(2027,6,1)&gt;=DATE(YEAR('Model inputs'!U12),MONTH('Model inputs'!U12),1)),DATE(2027,6,1)&gt;=DATE(YEAR('Model inputs'!U12),MONTH('Model inputs'!U12),1),IF(DATE(YEAR('Model inputs'!U12),MONTH('Model inputs'!U12),1)="","",DATE(2027,6,1)&gt;=DATE(YEAR('Model inputs'!U12),MONTH('Model inputs'!U12),1)))),IF('Model inputs'!U25="","",'Model inputs'!U25),0)</f>
        <v>2000</v>
      </c>
      <c r="K16" s="9">
        <f>IF(IF(IF(ISERROR(DATE(2027,7,1)&gt;=DATE(YEAR('Model inputs'!U12),MONTH('Model inputs'!U12),1)),DATE(2027,7,1)&gt;=DATE(YEAR('Model inputs'!U12),MONTH('Model inputs'!U12),1),IF(DATE(YEAR('Model inputs'!U12),MONTH('Model inputs'!U12),1)="","",DATE(2027,7,1)&gt;=DATE(YEAR('Model inputs'!U12),MONTH('Model inputs'!U12),1)))="",FALSE,IF(ISERROR(DATE(2027,7,1)&gt;=DATE(YEAR('Model inputs'!U12),MONTH('Model inputs'!U12),1)),DATE(2027,7,1)&gt;=DATE(YEAR('Model inputs'!U12),MONTH('Model inputs'!U12),1),IF(DATE(YEAR('Model inputs'!U12),MONTH('Model inputs'!U12),1)="","",DATE(2027,7,1)&gt;=DATE(YEAR('Model inputs'!U12),MONTH('Model inputs'!U12),1)))),IF('Model inputs'!U25="","",'Model inputs'!U25),0)</f>
        <v>2000</v>
      </c>
      <c r="L16" s="9">
        <f>IF(IF(IF(ISERROR(DATE(2027,8,1)&gt;=DATE(YEAR('Model inputs'!U12),MONTH('Model inputs'!U12),1)),DATE(2027,8,1)&gt;=DATE(YEAR('Model inputs'!U12),MONTH('Model inputs'!U12),1),IF(DATE(YEAR('Model inputs'!U12),MONTH('Model inputs'!U12),1)="","",DATE(2027,8,1)&gt;=DATE(YEAR('Model inputs'!U12),MONTH('Model inputs'!U12),1)))="",FALSE,IF(ISERROR(DATE(2027,8,1)&gt;=DATE(YEAR('Model inputs'!U12),MONTH('Model inputs'!U12),1)),DATE(2027,8,1)&gt;=DATE(YEAR('Model inputs'!U12),MONTH('Model inputs'!U12),1),IF(DATE(YEAR('Model inputs'!U12),MONTH('Model inputs'!U12),1)="","",DATE(2027,8,1)&gt;=DATE(YEAR('Model inputs'!U12),MONTH('Model inputs'!U12),1)))),IF('Model inputs'!U25="","",'Model inputs'!U25),0)</f>
        <v>2000</v>
      </c>
      <c r="M16" s="9">
        <f>IF(IF(IF(ISERROR(DATE(2027,9,1)&gt;=DATE(YEAR('Model inputs'!U12),MONTH('Model inputs'!U12),1)),DATE(2027,9,1)&gt;=DATE(YEAR('Model inputs'!U12),MONTH('Model inputs'!U12),1),IF(DATE(YEAR('Model inputs'!U12),MONTH('Model inputs'!U12),1)="","",DATE(2027,9,1)&gt;=DATE(YEAR('Model inputs'!U12),MONTH('Model inputs'!U12),1)))="",FALSE,IF(ISERROR(DATE(2027,9,1)&gt;=DATE(YEAR('Model inputs'!U12),MONTH('Model inputs'!U12),1)),DATE(2027,9,1)&gt;=DATE(YEAR('Model inputs'!U12),MONTH('Model inputs'!U12),1),IF(DATE(YEAR('Model inputs'!U12),MONTH('Model inputs'!U12),1)="","",DATE(2027,9,1)&gt;=DATE(YEAR('Model inputs'!U12),MONTH('Model inputs'!U12),1)))),IF('Model inputs'!U25="","",'Model inputs'!U25),0)</f>
        <v>2000</v>
      </c>
      <c r="N16" s="9">
        <f>IF(IF(IF(ISERROR(DATE(2027,10,1)&gt;=DATE(YEAR('Model inputs'!U12),MONTH('Model inputs'!U12),1)),DATE(2027,10,1)&gt;=DATE(YEAR('Model inputs'!U12),MONTH('Model inputs'!U12),1),IF(DATE(YEAR('Model inputs'!U12),MONTH('Model inputs'!U12),1)="","",DATE(2027,10,1)&gt;=DATE(YEAR('Model inputs'!U12),MONTH('Model inputs'!U12),1)))="",FALSE,IF(ISERROR(DATE(2027,10,1)&gt;=DATE(YEAR('Model inputs'!U12),MONTH('Model inputs'!U12),1)),DATE(2027,10,1)&gt;=DATE(YEAR('Model inputs'!U12),MONTH('Model inputs'!U12),1),IF(DATE(YEAR('Model inputs'!U12),MONTH('Model inputs'!U12),1)="","",DATE(2027,10,1)&gt;=DATE(YEAR('Model inputs'!U12),MONTH('Model inputs'!U12),1)))),IF('Model inputs'!U25="","",'Model inputs'!U25),0)</f>
        <v>2000</v>
      </c>
      <c r="O16" s="9">
        <f>IF(IF(IF(ISERROR(DATE(2027,11,1)&gt;=DATE(YEAR('Model inputs'!U12),MONTH('Model inputs'!U12),1)),DATE(2027,11,1)&gt;=DATE(YEAR('Model inputs'!U12),MONTH('Model inputs'!U12),1),IF(DATE(YEAR('Model inputs'!U12),MONTH('Model inputs'!U12),1)="","",DATE(2027,11,1)&gt;=DATE(YEAR('Model inputs'!U12),MONTH('Model inputs'!U12),1)))="",FALSE,IF(ISERROR(DATE(2027,11,1)&gt;=DATE(YEAR('Model inputs'!U12),MONTH('Model inputs'!U12),1)),DATE(2027,11,1)&gt;=DATE(YEAR('Model inputs'!U12),MONTH('Model inputs'!U12),1),IF(DATE(YEAR('Model inputs'!U12),MONTH('Model inputs'!U12),1)="","",DATE(2027,11,1)&gt;=DATE(YEAR('Model inputs'!U12),MONTH('Model inputs'!U12),1)))),IF('Model inputs'!U25="","",'Model inputs'!U25),0)</f>
        <v>2000</v>
      </c>
      <c r="P16" s="9">
        <f>IF(IF(IF(ISERROR(DATE(2027,12,1)&gt;=DATE(YEAR('Model inputs'!U12),MONTH('Model inputs'!U12),1)),DATE(2027,12,1)&gt;=DATE(YEAR('Model inputs'!U12),MONTH('Model inputs'!U12),1),IF(DATE(YEAR('Model inputs'!U12),MONTH('Model inputs'!U12),1)="","",DATE(2027,12,1)&gt;=DATE(YEAR('Model inputs'!U12),MONTH('Model inputs'!U12),1)))="",FALSE,IF(ISERROR(DATE(2027,12,1)&gt;=DATE(YEAR('Model inputs'!U12),MONTH('Model inputs'!U12),1)),DATE(2027,12,1)&gt;=DATE(YEAR('Model inputs'!U12),MONTH('Model inputs'!U12),1),IF(DATE(YEAR('Model inputs'!U12),MONTH('Model inputs'!U12),1)="","",DATE(2027,12,1)&gt;=DATE(YEAR('Model inputs'!U12),MONTH('Model inputs'!U12),1)))),IF('Model inputs'!U25="","",'Model inputs'!U25),0)</f>
        <v>2000</v>
      </c>
      <c r="Q16" s="9">
        <f>IF(IF(IF(ISERROR(DATE(2028,1,1)&gt;=DATE(YEAR('Model inputs'!U12),MONTH('Model inputs'!U12),1)),DATE(2028,1,1)&gt;=DATE(YEAR('Model inputs'!U12),MONTH('Model inputs'!U12),1),IF(DATE(YEAR('Model inputs'!U12),MONTH('Model inputs'!U12),1)="","",DATE(2028,1,1)&gt;=DATE(YEAR('Model inputs'!U12),MONTH('Model inputs'!U12),1)))="",FALSE,IF(ISERROR(DATE(2028,1,1)&gt;=DATE(YEAR('Model inputs'!U12),MONTH('Model inputs'!U12),1)),DATE(2028,1,1)&gt;=DATE(YEAR('Model inputs'!U12),MONTH('Model inputs'!U12),1),IF(DATE(YEAR('Model inputs'!U12),MONTH('Model inputs'!U12),1)="","",DATE(2028,1,1)&gt;=DATE(YEAR('Model inputs'!U12),MONTH('Model inputs'!U12),1)))),IF('Model inputs'!U25="","",'Model inputs'!U25),0)</f>
        <v>2000</v>
      </c>
      <c r="R16" s="9">
        <f>IF(IF(IF(ISERROR(DATE(2028,2,1)&gt;=DATE(YEAR('Model inputs'!U12),MONTH('Model inputs'!U12),1)),DATE(2028,2,1)&gt;=DATE(YEAR('Model inputs'!U12),MONTH('Model inputs'!U12),1),IF(DATE(YEAR('Model inputs'!U12),MONTH('Model inputs'!U12),1)="","",DATE(2028,2,1)&gt;=DATE(YEAR('Model inputs'!U12),MONTH('Model inputs'!U12),1)))="",FALSE,IF(ISERROR(DATE(2028,2,1)&gt;=DATE(YEAR('Model inputs'!U12),MONTH('Model inputs'!U12),1)),DATE(2028,2,1)&gt;=DATE(YEAR('Model inputs'!U12),MONTH('Model inputs'!U12),1),IF(DATE(YEAR('Model inputs'!U12),MONTH('Model inputs'!U12),1)="","",DATE(2028,2,1)&gt;=DATE(YEAR('Model inputs'!U12),MONTH('Model inputs'!U12),1)))),IF('Model inputs'!U25="","",'Model inputs'!U25),0)</f>
        <v>2000</v>
      </c>
      <c r="S16" s="9">
        <f>IF(IF(IF(ISERROR(DATE(2028,3,1)&gt;=DATE(YEAR('Model inputs'!U12),MONTH('Model inputs'!U12),1)),DATE(2028,3,1)&gt;=DATE(YEAR('Model inputs'!U12),MONTH('Model inputs'!U12),1),IF(DATE(YEAR('Model inputs'!U12),MONTH('Model inputs'!U12),1)="","",DATE(2028,3,1)&gt;=DATE(YEAR('Model inputs'!U12),MONTH('Model inputs'!U12),1)))="",FALSE,IF(ISERROR(DATE(2028,3,1)&gt;=DATE(YEAR('Model inputs'!U12),MONTH('Model inputs'!U12),1)),DATE(2028,3,1)&gt;=DATE(YEAR('Model inputs'!U12),MONTH('Model inputs'!U12),1),IF(DATE(YEAR('Model inputs'!U12),MONTH('Model inputs'!U12),1)="","",DATE(2028,3,1)&gt;=DATE(YEAR('Model inputs'!U12),MONTH('Model inputs'!U12),1)))),IF('Model inputs'!U25="","",'Model inputs'!U25),0)</f>
        <v>2000</v>
      </c>
    </row>
    <row r="17" outlineLevel="1">
      <c r="A17" t="inlineStr" s="13">
        <is>
          <t xml:space="preserve">Placeholder founder 4</t>
        </is>
      </c>
      <c r="B17" s="9">
        <f>IF(IF(IF(ISERROR(DATE(2026,10,1)&gt;=DATE(YEAR('Model inputs'!U13),MONTH('Model inputs'!U13),1)),DATE(2026,10,1)&gt;=DATE(YEAR('Model inputs'!U13),MONTH('Model inputs'!U13),1),IF(DATE(YEAR('Model inputs'!U13),MONTH('Model inputs'!U13),1)="","",DATE(2026,10,1)&gt;=DATE(YEAR('Model inputs'!U13),MONTH('Model inputs'!U13),1)))="",FALSE,IF(ISERROR(DATE(2026,10,1)&gt;=DATE(YEAR('Model inputs'!U13),MONTH('Model inputs'!U13),1)),DATE(2026,10,1)&gt;=DATE(YEAR('Model inputs'!U13),MONTH('Model inputs'!U13),1),IF(DATE(YEAR('Model inputs'!U13),MONTH('Model inputs'!U13),1)="","",DATE(2026,10,1)&gt;=DATE(YEAR('Model inputs'!U13),MONTH('Model inputs'!U13),1)))),IF('Model inputs'!U26="","",'Model inputs'!U26),0)</f>
        <v>0</v>
      </c>
      <c r="C17" s="9">
        <f>IF(IF(IF(ISERROR(DATE(2026,11,1)&gt;=DATE(YEAR('Model inputs'!U13),MONTH('Model inputs'!U13),1)),DATE(2026,11,1)&gt;=DATE(YEAR('Model inputs'!U13),MONTH('Model inputs'!U13),1),IF(DATE(YEAR('Model inputs'!U13),MONTH('Model inputs'!U13),1)="","",DATE(2026,11,1)&gt;=DATE(YEAR('Model inputs'!U13),MONTH('Model inputs'!U13),1)))="",FALSE,IF(ISERROR(DATE(2026,11,1)&gt;=DATE(YEAR('Model inputs'!U13),MONTH('Model inputs'!U13),1)),DATE(2026,11,1)&gt;=DATE(YEAR('Model inputs'!U13),MONTH('Model inputs'!U13),1),IF(DATE(YEAR('Model inputs'!U13),MONTH('Model inputs'!U13),1)="","",DATE(2026,11,1)&gt;=DATE(YEAR('Model inputs'!U13),MONTH('Model inputs'!U13),1)))),IF('Model inputs'!U26="","",'Model inputs'!U26),0)</f>
        <v>0</v>
      </c>
      <c r="D17" s="9">
        <f>IF(IF(IF(ISERROR(DATE(2026,12,1)&gt;=DATE(YEAR('Model inputs'!U13),MONTH('Model inputs'!U13),1)),DATE(2026,12,1)&gt;=DATE(YEAR('Model inputs'!U13),MONTH('Model inputs'!U13),1),IF(DATE(YEAR('Model inputs'!U13),MONTH('Model inputs'!U13),1)="","",DATE(2026,12,1)&gt;=DATE(YEAR('Model inputs'!U13),MONTH('Model inputs'!U13),1)))="",FALSE,IF(ISERROR(DATE(2026,12,1)&gt;=DATE(YEAR('Model inputs'!U13),MONTH('Model inputs'!U13),1)),DATE(2026,12,1)&gt;=DATE(YEAR('Model inputs'!U13),MONTH('Model inputs'!U13),1),IF(DATE(YEAR('Model inputs'!U13),MONTH('Model inputs'!U13),1)="","",DATE(2026,12,1)&gt;=DATE(YEAR('Model inputs'!U13),MONTH('Model inputs'!U13),1)))),IF('Model inputs'!U26="","",'Model inputs'!U26),0)</f>
        <v>0</v>
      </c>
      <c r="E17" s="9">
        <f>IF(IF(IF(ISERROR(DATE(2027,1,1)&gt;=DATE(YEAR('Model inputs'!U13),MONTH('Model inputs'!U13),1)),DATE(2027,1,1)&gt;=DATE(YEAR('Model inputs'!U13),MONTH('Model inputs'!U13),1),IF(DATE(YEAR('Model inputs'!U13),MONTH('Model inputs'!U13),1)="","",DATE(2027,1,1)&gt;=DATE(YEAR('Model inputs'!U13),MONTH('Model inputs'!U13),1)))="",FALSE,IF(ISERROR(DATE(2027,1,1)&gt;=DATE(YEAR('Model inputs'!U13),MONTH('Model inputs'!U13),1)),DATE(2027,1,1)&gt;=DATE(YEAR('Model inputs'!U13),MONTH('Model inputs'!U13),1),IF(DATE(YEAR('Model inputs'!U13),MONTH('Model inputs'!U13),1)="","",DATE(2027,1,1)&gt;=DATE(YEAR('Model inputs'!U13),MONTH('Model inputs'!U13),1)))),IF('Model inputs'!U26="","",'Model inputs'!U26),0)</f>
        <v>0</v>
      </c>
      <c r="F17" s="9">
        <f>IF(IF(IF(ISERROR(DATE(2027,2,1)&gt;=DATE(YEAR('Model inputs'!U13),MONTH('Model inputs'!U13),1)),DATE(2027,2,1)&gt;=DATE(YEAR('Model inputs'!U13),MONTH('Model inputs'!U13),1),IF(DATE(YEAR('Model inputs'!U13),MONTH('Model inputs'!U13),1)="","",DATE(2027,2,1)&gt;=DATE(YEAR('Model inputs'!U13),MONTH('Model inputs'!U13),1)))="",FALSE,IF(ISERROR(DATE(2027,2,1)&gt;=DATE(YEAR('Model inputs'!U13),MONTH('Model inputs'!U13),1)),DATE(2027,2,1)&gt;=DATE(YEAR('Model inputs'!U13),MONTH('Model inputs'!U13),1),IF(DATE(YEAR('Model inputs'!U13),MONTH('Model inputs'!U13),1)="","",DATE(2027,2,1)&gt;=DATE(YEAR('Model inputs'!U13),MONTH('Model inputs'!U13),1)))),IF('Model inputs'!U26="","",'Model inputs'!U26),0)</f>
        <v>0</v>
      </c>
      <c r="G17" s="9">
        <f>IF(IF(IF(ISERROR(DATE(2027,3,1)&gt;=DATE(YEAR('Model inputs'!U13),MONTH('Model inputs'!U13),1)),DATE(2027,3,1)&gt;=DATE(YEAR('Model inputs'!U13),MONTH('Model inputs'!U13),1),IF(DATE(YEAR('Model inputs'!U13),MONTH('Model inputs'!U13),1)="","",DATE(2027,3,1)&gt;=DATE(YEAR('Model inputs'!U13),MONTH('Model inputs'!U13),1)))="",FALSE,IF(ISERROR(DATE(2027,3,1)&gt;=DATE(YEAR('Model inputs'!U13),MONTH('Model inputs'!U13),1)),DATE(2027,3,1)&gt;=DATE(YEAR('Model inputs'!U13),MONTH('Model inputs'!U13),1),IF(DATE(YEAR('Model inputs'!U13),MONTH('Model inputs'!U13),1)="","",DATE(2027,3,1)&gt;=DATE(YEAR('Model inputs'!U13),MONTH('Model inputs'!U13),1)))),IF('Model inputs'!U26="","",'Model inputs'!U26),0)</f>
        <v>0</v>
      </c>
      <c r="H17" s="9">
        <f>IF(IF(IF(ISERROR(DATE(2027,4,1)&gt;=DATE(YEAR('Model inputs'!U13),MONTH('Model inputs'!U13),1)),DATE(2027,4,1)&gt;=DATE(YEAR('Model inputs'!U13),MONTH('Model inputs'!U13),1),IF(DATE(YEAR('Model inputs'!U13),MONTH('Model inputs'!U13),1)="","",DATE(2027,4,1)&gt;=DATE(YEAR('Model inputs'!U13),MONTH('Model inputs'!U13),1)))="",FALSE,IF(ISERROR(DATE(2027,4,1)&gt;=DATE(YEAR('Model inputs'!U13),MONTH('Model inputs'!U13),1)),DATE(2027,4,1)&gt;=DATE(YEAR('Model inputs'!U13),MONTH('Model inputs'!U13),1),IF(DATE(YEAR('Model inputs'!U13),MONTH('Model inputs'!U13),1)="","",DATE(2027,4,1)&gt;=DATE(YEAR('Model inputs'!U13),MONTH('Model inputs'!U13),1)))),IF('Model inputs'!U26="","",'Model inputs'!U26),0)</f>
        <v>2000</v>
      </c>
      <c r="I17" s="9">
        <f>IF(IF(IF(ISERROR(DATE(2027,5,1)&gt;=DATE(YEAR('Model inputs'!U13),MONTH('Model inputs'!U13),1)),DATE(2027,5,1)&gt;=DATE(YEAR('Model inputs'!U13),MONTH('Model inputs'!U13),1),IF(DATE(YEAR('Model inputs'!U13),MONTH('Model inputs'!U13),1)="","",DATE(2027,5,1)&gt;=DATE(YEAR('Model inputs'!U13),MONTH('Model inputs'!U13),1)))="",FALSE,IF(ISERROR(DATE(2027,5,1)&gt;=DATE(YEAR('Model inputs'!U13),MONTH('Model inputs'!U13),1)),DATE(2027,5,1)&gt;=DATE(YEAR('Model inputs'!U13),MONTH('Model inputs'!U13),1),IF(DATE(YEAR('Model inputs'!U13),MONTH('Model inputs'!U13),1)="","",DATE(2027,5,1)&gt;=DATE(YEAR('Model inputs'!U13),MONTH('Model inputs'!U13),1)))),IF('Model inputs'!U26="","",'Model inputs'!U26),0)</f>
        <v>2000</v>
      </c>
      <c r="J17" s="9">
        <f>IF(IF(IF(ISERROR(DATE(2027,6,1)&gt;=DATE(YEAR('Model inputs'!U13),MONTH('Model inputs'!U13),1)),DATE(2027,6,1)&gt;=DATE(YEAR('Model inputs'!U13),MONTH('Model inputs'!U13),1),IF(DATE(YEAR('Model inputs'!U13),MONTH('Model inputs'!U13),1)="","",DATE(2027,6,1)&gt;=DATE(YEAR('Model inputs'!U13),MONTH('Model inputs'!U13),1)))="",FALSE,IF(ISERROR(DATE(2027,6,1)&gt;=DATE(YEAR('Model inputs'!U13),MONTH('Model inputs'!U13),1)),DATE(2027,6,1)&gt;=DATE(YEAR('Model inputs'!U13),MONTH('Model inputs'!U13),1),IF(DATE(YEAR('Model inputs'!U13),MONTH('Model inputs'!U13),1)="","",DATE(2027,6,1)&gt;=DATE(YEAR('Model inputs'!U13),MONTH('Model inputs'!U13),1)))),IF('Model inputs'!U26="","",'Model inputs'!U26),0)</f>
        <v>2000</v>
      </c>
      <c r="K17" s="9">
        <f>IF(IF(IF(ISERROR(DATE(2027,7,1)&gt;=DATE(YEAR('Model inputs'!U13),MONTH('Model inputs'!U13),1)),DATE(2027,7,1)&gt;=DATE(YEAR('Model inputs'!U13),MONTH('Model inputs'!U13),1),IF(DATE(YEAR('Model inputs'!U13),MONTH('Model inputs'!U13),1)="","",DATE(2027,7,1)&gt;=DATE(YEAR('Model inputs'!U13),MONTH('Model inputs'!U13),1)))="",FALSE,IF(ISERROR(DATE(2027,7,1)&gt;=DATE(YEAR('Model inputs'!U13),MONTH('Model inputs'!U13),1)),DATE(2027,7,1)&gt;=DATE(YEAR('Model inputs'!U13),MONTH('Model inputs'!U13),1),IF(DATE(YEAR('Model inputs'!U13),MONTH('Model inputs'!U13),1)="","",DATE(2027,7,1)&gt;=DATE(YEAR('Model inputs'!U13),MONTH('Model inputs'!U13),1)))),IF('Model inputs'!U26="","",'Model inputs'!U26),0)</f>
        <v>2000</v>
      </c>
      <c r="L17" s="9">
        <f>IF(IF(IF(ISERROR(DATE(2027,8,1)&gt;=DATE(YEAR('Model inputs'!U13),MONTH('Model inputs'!U13),1)),DATE(2027,8,1)&gt;=DATE(YEAR('Model inputs'!U13),MONTH('Model inputs'!U13),1),IF(DATE(YEAR('Model inputs'!U13),MONTH('Model inputs'!U13),1)="","",DATE(2027,8,1)&gt;=DATE(YEAR('Model inputs'!U13),MONTH('Model inputs'!U13),1)))="",FALSE,IF(ISERROR(DATE(2027,8,1)&gt;=DATE(YEAR('Model inputs'!U13),MONTH('Model inputs'!U13),1)),DATE(2027,8,1)&gt;=DATE(YEAR('Model inputs'!U13),MONTH('Model inputs'!U13),1),IF(DATE(YEAR('Model inputs'!U13),MONTH('Model inputs'!U13),1)="","",DATE(2027,8,1)&gt;=DATE(YEAR('Model inputs'!U13),MONTH('Model inputs'!U13),1)))),IF('Model inputs'!U26="","",'Model inputs'!U26),0)</f>
        <v>2000</v>
      </c>
      <c r="M17" s="9">
        <f>IF(IF(IF(ISERROR(DATE(2027,9,1)&gt;=DATE(YEAR('Model inputs'!U13),MONTH('Model inputs'!U13),1)),DATE(2027,9,1)&gt;=DATE(YEAR('Model inputs'!U13),MONTH('Model inputs'!U13),1),IF(DATE(YEAR('Model inputs'!U13),MONTH('Model inputs'!U13),1)="","",DATE(2027,9,1)&gt;=DATE(YEAR('Model inputs'!U13),MONTH('Model inputs'!U13),1)))="",FALSE,IF(ISERROR(DATE(2027,9,1)&gt;=DATE(YEAR('Model inputs'!U13),MONTH('Model inputs'!U13),1)),DATE(2027,9,1)&gt;=DATE(YEAR('Model inputs'!U13),MONTH('Model inputs'!U13),1),IF(DATE(YEAR('Model inputs'!U13),MONTH('Model inputs'!U13),1)="","",DATE(2027,9,1)&gt;=DATE(YEAR('Model inputs'!U13),MONTH('Model inputs'!U13),1)))),IF('Model inputs'!U26="","",'Model inputs'!U26),0)</f>
        <v>2000</v>
      </c>
      <c r="N17" s="9">
        <f>IF(IF(IF(ISERROR(DATE(2027,10,1)&gt;=DATE(YEAR('Model inputs'!U13),MONTH('Model inputs'!U13),1)),DATE(2027,10,1)&gt;=DATE(YEAR('Model inputs'!U13),MONTH('Model inputs'!U13),1),IF(DATE(YEAR('Model inputs'!U13),MONTH('Model inputs'!U13),1)="","",DATE(2027,10,1)&gt;=DATE(YEAR('Model inputs'!U13),MONTH('Model inputs'!U13),1)))="",FALSE,IF(ISERROR(DATE(2027,10,1)&gt;=DATE(YEAR('Model inputs'!U13),MONTH('Model inputs'!U13),1)),DATE(2027,10,1)&gt;=DATE(YEAR('Model inputs'!U13),MONTH('Model inputs'!U13),1),IF(DATE(YEAR('Model inputs'!U13),MONTH('Model inputs'!U13),1)="","",DATE(2027,10,1)&gt;=DATE(YEAR('Model inputs'!U13),MONTH('Model inputs'!U13),1)))),IF('Model inputs'!U26="","",'Model inputs'!U26),0)</f>
        <v>2000</v>
      </c>
      <c r="O17" s="9">
        <f>IF(IF(IF(ISERROR(DATE(2027,11,1)&gt;=DATE(YEAR('Model inputs'!U13),MONTH('Model inputs'!U13),1)),DATE(2027,11,1)&gt;=DATE(YEAR('Model inputs'!U13),MONTH('Model inputs'!U13),1),IF(DATE(YEAR('Model inputs'!U13),MONTH('Model inputs'!U13),1)="","",DATE(2027,11,1)&gt;=DATE(YEAR('Model inputs'!U13),MONTH('Model inputs'!U13),1)))="",FALSE,IF(ISERROR(DATE(2027,11,1)&gt;=DATE(YEAR('Model inputs'!U13),MONTH('Model inputs'!U13),1)),DATE(2027,11,1)&gt;=DATE(YEAR('Model inputs'!U13),MONTH('Model inputs'!U13),1),IF(DATE(YEAR('Model inputs'!U13),MONTH('Model inputs'!U13),1)="","",DATE(2027,11,1)&gt;=DATE(YEAR('Model inputs'!U13),MONTH('Model inputs'!U13),1)))),IF('Model inputs'!U26="","",'Model inputs'!U26),0)</f>
        <v>2000</v>
      </c>
      <c r="P17" s="9">
        <f>IF(IF(IF(ISERROR(DATE(2027,12,1)&gt;=DATE(YEAR('Model inputs'!U13),MONTH('Model inputs'!U13),1)),DATE(2027,12,1)&gt;=DATE(YEAR('Model inputs'!U13),MONTH('Model inputs'!U13),1),IF(DATE(YEAR('Model inputs'!U13),MONTH('Model inputs'!U13),1)="","",DATE(2027,12,1)&gt;=DATE(YEAR('Model inputs'!U13),MONTH('Model inputs'!U13),1)))="",FALSE,IF(ISERROR(DATE(2027,12,1)&gt;=DATE(YEAR('Model inputs'!U13),MONTH('Model inputs'!U13),1)),DATE(2027,12,1)&gt;=DATE(YEAR('Model inputs'!U13),MONTH('Model inputs'!U13),1),IF(DATE(YEAR('Model inputs'!U13),MONTH('Model inputs'!U13),1)="","",DATE(2027,12,1)&gt;=DATE(YEAR('Model inputs'!U13),MONTH('Model inputs'!U13),1)))),IF('Model inputs'!U26="","",'Model inputs'!U26),0)</f>
        <v>2000</v>
      </c>
      <c r="Q17" s="9">
        <f>IF(IF(IF(ISERROR(DATE(2028,1,1)&gt;=DATE(YEAR('Model inputs'!U13),MONTH('Model inputs'!U13),1)),DATE(2028,1,1)&gt;=DATE(YEAR('Model inputs'!U13),MONTH('Model inputs'!U13),1),IF(DATE(YEAR('Model inputs'!U13),MONTH('Model inputs'!U13),1)="","",DATE(2028,1,1)&gt;=DATE(YEAR('Model inputs'!U13),MONTH('Model inputs'!U13),1)))="",FALSE,IF(ISERROR(DATE(2028,1,1)&gt;=DATE(YEAR('Model inputs'!U13),MONTH('Model inputs'!U13),1)),DATE(2028,1,1)&gt;=DATE(YEAR('Model inputs'!U13),MONTH('Model inputs'!U13),1),IF(DATE(YEAR('Model inputs'!U13),MONTH('Model inputs'!U13),1)="","",DATE(2028,1,1)&gt;=DATE(YEAR('Model inputs'!U13),MONTH('Model inputs'!U13),1)))),IF('Model inputs'!U26="","",'Model inputs'!U26),0)</f>
        <v>2000</v>
      </c>
      <c r="R17" s="9">
        <f>IF(IF(IF(ISERROR(DATE(2028,2,1)&gt;=DATE(YEAR('Model inputs'!U13),MONTH('Model inputs'!U13),1)),DATE(2028,2,1)&gt;=DATE(YEAR('Model inputs'!U13),MONTH('Model inputs'!U13),1),IF(DATE(YEAR('Model inputs'!U13),MONTH('Model inputs'!U13),1)="","",DATE(2028,2,1)&gt;=DATE(YEAR('Model inputs'!U13),MONTH('Model inputs'!U13),1)))="",FALSE,IF(ISERROR(DATE(2028,2,1)&gt;=DATE(YEAR('Model inputs'!U13),MONTH('Model inputs'!U13),1)),DATE(2028,2,1)&gt;=DATE(YEAR('Model inputs'!U13),MONTH('Model inputs'!U13),1),IF(DATE(YEAR('Model inputs'!U13),MONTH('Model inputs'!U13),1)="","",DATE(2028,2,1)&gt;=DATE(YEAR('Model inputs'!U13),MONTH('Model inputs'!U13),1)))),IF('Model inputs'!U26="","",'Model inputs'!U26),0)</f>
        <v>2000</v>
      </c>
      <c r="S17" s="9">
        <f>IF(IF(IF(ISERROR(DATE(2028,3,1)&gt;=DATE(YEAR('Model inputs'!U13),MONTH('Model inputs'!U13),1)),DATE(2028,3,1)&gt;=DATE(YEAR('Model inputs'!U13),MONTH('Model inputs'!U13),1),IF(DATE(YEAR('Model inputs'!U13),MONTH('Model inputs'!U13),1)="","",DATE(2028,3,1)&gt;=DATE(YEAR('Model inputs'!U13),MONTH('Model inputs'!U13),1)))="",FALSE,IF(ISERROR(DATE(2028,3,1)&gt;=DATE(YEAR('Model inputs'!U13),MONTH('Model inputs'!U13),1)),DATE(2028,3,1)&gt;=DATE(YEAR('Model inputs'!U13),MONTH('Model inputs'!U13),1),IF(DATE(YEAR('Model inputs'!U13),MONTH('Model inputs'!U13),1)="","",DATE(2028,3,1)&gt;=DATE(YEAR('Model inputs'!U13),MONTH('Model inputs'!U13),1)))),IF('Model inputs'!U26="","",'Model inputs'!U26),0)</f>
        <v>2000</v>
      </c>
    </row>
    <row r="18">
      <c r="A18" t="inlineStr" s="8">
        <is>
          <t xml:space="preserve">Net cash flow</t>
        </is>
      </c>
      <c r="B18" s="9">
        <f>'18-month forecast'!B11-'18-month forecast'!B13</f>
        <v>750</v>
      </c>
      <c r="C18" s="9">
        <f>'18-month forecast'!C11-'18-month forecast'!C13</f>
        <v>750</v>
      </c>
      <c r="D18" s="9">
        <f>'18-month forecast'!D11-'18-month forecast'!D13</f>
        <v>750</v>
      </c>
      <c r="E18" s="9">
        <f>'18-month forecast'!E11-'18-month forecast'!E13</f>
        <v>750</v>
      </c>
      <c r="F18" s="9">
        <f>'18-month forecast'!F11-'18-month forecast'!F13</f>
        <v>750</v>
      </c>
      <c r="G18" s="9">
        <f>'18-month forecast'!G11-'18-month forecast'!G13</f>
        <v>750</v>
      </c>
      <c r="H18" s="9">
        <f>'18-month forecast'!H11-'18-month forecast'!H13</f>
        <v>-7250</v>
      </c>
      <c r="I18" s="9">
        <f>'18-month forecast'!I11-'18-month forecast'!I13</f>
        <v>-7250</v>
      </c>
      <c r="J18" s="9">
        <f>'18-month forecast'!J11-'18-month forecast'!J13</f>
        <v>-7250</v>
      </c>
      <c r="K18" s="9">
        <f>'18-month forecast'!K11-'18-month forecast'!K13</f>
        <v>-7250</v>
      </c>
      <c r="L18" s="9">
        <f>'18-month forecast'!L11-'18-month forecast'!L13</f>
        <v>-7250</v>
      </c>
      <c r="M18" s="9">
        <f>'18-month forecast'!M11-'18-month forecast'!M13</f>
        <v>-7250</v>
      </c>
      <c r="N18" s="9">
        <f>'18-month forecast'!N11-'18-month forecast'!N13</f>
        <v>-7250</v>
      </c>
      <c r="O18" s="9">
        <f>'18-month forecast'!O11-'18-month forecast'!O13</f>
        <v>-7250</v>
      </c>
      <c r="P18" s="9">
        <f>'18-month forecast'!P11-'18-month forecast'!P13</f>
        <v>-7250</v>
      </c>
      <c r="Q18" s="9">
        <f>'18-month forecast'!Q11-'18-month forecast'!Q13</f>
        <v>-7250</v>
      </c>
      <c r="R18" s="9">
        <f>'18-month forecast'!R11-'18-month forecast'!R13</f>
        <v>-7250</v>
      </c>
      <c r="S18" s="9">
        <f>'18-month forecast'!S11-'18-month forecast'!S13</f>
        <v>-7250</v>
      </c>
    </row>
    <row r="19">
      <c r="A19" t="inlineStr" s="6">
        <is>
          <t xml:space="preserve">Closing cash</t>
        </is>
      </c>
      <c r="B19" s="11">
        <f>IF(IF(DATE(2026,10,1)=DATE(2026,10,1),IF('Model inputs'!U38="","",'Model inputs'!U38),IF('Model inputs'!B6="","",'Model inputs'!B6))="",0,IF(DATE(2026,10,1)=DATE(2026,10,1),IF('Model inputs'!U38="","",'Model inputs'!U38),IF('Model inputs'!B6="","",'Model inputs'!B6)))+'18-month forecast'!B18</f>
        <v>10750</v>
      </c>
      <c r="C19" s="11">
        <f>IF(IF(DATE(2026,11,1)=DATE(2026,10,1),IF('Model inputs'!U38="","",'Model inputs'!U38),IF('18-month forecast'!B19="","",'18-month forecast'!B19))="",0,IF(DATE(2026,11,1)=DATE(2026,10,1),IF('Model inputs'!U38="","",'Model inputs'!U38),IF('18-month forecast'!B19="","",'18-month forecast'!B19)))+'18-month forecast'!C18</f>
        <v>11500</v>
      </c>
      <c r="D19" s="11">
        <f>IF(IF(DATE(2026,12,1)=DATE(2026,10,1),IF('Model inputs'!U38="","",'Model inputs'!U38),IF('18-month forecast'!C19="","",'18-month forecast'!C19))="",0,IF(DATE(2026,12,1)=DATE(2026,10,1),IF('Model inputs'!U38="","",'Model inputs'!U38),IF('18-month forecast'!C19="","",'18-month forecast'!C19)))+'18-month forecast'!D18</f>
        <v>12250</v>
      </c>
      <c r="E19" s="11">
        <f>IF(IF(DATE(2027,1,1)=DATE(2026,10,1),IF('Model inputs'!U38="","",'Model inputs'!U38),IF('18-month forecast'!D19="","",'18-month forecast'!D19))="",0,IF(DATE(2027,1,1)=DATE(2026,10,1),IF('Model inputs'!U38="","",'Model inputs'!U38),IF('18-month forecast'!D19="","",'18-month forecast'!D19)))+'18-month forecast'!E18</f>
        <v>13000</v>
      </c>
      <c r="F19" s="11">
        <f>IF(IF(DATE(2027,2,1)=DATE(2026,10,1),IF('Model inputs'!U38="","",'Model inputs'!U38),IF('18-month forecast'!E19="","",'18-month forecast'!E19))="",0,IF(DATE(2027,2,1)=DATE(2026,10,1),IF('Model inputs'!U38="","",'Model inputs'!U38),IF('18-month forecast'!E19="","",'18-month forecast'!E19)))+'18-month forecast'!F18</f>
        <v>13750</v>
      </c>
      <c r="G19" s="11">
        <f>IF(IF(DATE(2027,3,1)=DATE(2026,10,1),IF('Model inputs'!U38="","",'Model inputs'!U38),IF('18-month forecast'!F19="","",'18-month forecast'!F19))="",0,IF(DATE(2027,3,1)=DATE(2026,10,1),IF('Model inputs'!U38="","",'Model inputs'!U38),IF('18-month forecast'!F19="","",'18-month forecast'!F19)))+'18-month forecast'!G18</f>
        <v>14500</v>
      </c>
      <c r="H19" s="11">
        <f>IF(IF(DATE(2027,4,1)=DATE(2026,10,1),IF('Model inputs'!U38="","",'Model inputs'!U38),IF('18-month forecast'!G19="","",'18-month forecast'!G19))="",0,IF(DATE(2027,4,1)=DATE(2026,10,1),IF('Model inputs'!U38="","",'Model inputs'!U38),IF('18-month forecast'!G19="","",'18-month forecast'!G19)))+'18-month forecast'!H18</f>
        <v>7250</v>
      </c>
      <c r="I19" s="11">
        <f>IF(IF(DATE(2027,5,1)=DATE(2026,10,1),IF('Model inputs'!U38="","",'Model inputs'!U38),IF('18-month forecast'!H19="","",'18-month forecast'!H19))="",0,IF(DATE(2027,5,1)=DATE(2026,10,1),IF('Model inputs'!U38="","",'Model inputs'!U38),IF('18-month forecast'!H19="","",'18-month forecast'!H19)))+'18-month forecast'!I18</f>
        <v>0</v>
      </c>
      <c r="J19" s="11">
        <f>IF(IF(DATE(2027,6,1)=DATE(2026,10,1),IF('Model inputs'!U38="","",'Model inputs'!U38),IF('18-month forecast'!I19="","",'18-month forecast'!I19))="",0,IF(DATE(2027,6,1)=DATE(2026,10,1),IF('Model inputs'!U38="","",'Model inputs'!U38),IF('18-month forecast'!I19="","",'18-month forecast'!I19)))+'18-month forecast'!J18</f>
        <v>-7250</v>
      </c>
      <c r="K19" s="11">
        <f>IF(IF(DATE(2027,7,1)=DATE(2026,10,1),IF('Model inputs'!U38="","",'Model inputs'!U38),IF('18-month forecast'!J19="","",'18-month forecast'!J19))="",0,IF(DATE(2027,7,1)=DATE(2026,10,1),IF('Model inputs'!U38="","",'Model inputs'!U38),IF('18-month forecast'!J19="","",'18-month forecast'!J19)))+'18-month forecast'!K18</f>
        <v>-14500</v>
      </c>
      <c r="L19" s="11">
        <f>IF(IF(DATE(2027,8,1)=DATE(2026,10,1),IF('Model inputs'!U38="","",'Model inputs'!U38),IF('18-month forecast'!K19="","",'18-month forecast'!K19))="",0,IF(DATE(2027,8,1)=DATE(2026,10,1),IF('Model inputs'!U38="","",'Model inputs'!U38),IF('18-month forecast'!K19="","",'18-month forecast'!K19)))+'18-month forecast'!L18</f>
        <v>-21750</v>
      </c>
      <c r="M19" s="11">
        <f>IF(IF(DATE(2027,9,1)=DATE(2026,10,1),IF('Model inputs'!U38="","",'Model inputs'!U38),IF('18-month forecast'!L19="","",'18-month forecast'!L19))="",0,IF(DATE(2027,9,1)=DATE(2026,10,1),IF('Model inputs'!U38="","",'Model inputs'!U38),IF('18-month forecast'!L19="","",'18-month forecast'!L19)))+'18-month forecast'!M18</f>
        <v>-29000</v>
      </c>
      <c r="N19" s="11">
        <f>IF(IF(DATE(2027,10,1)=DATE(2026,10,1),IF('Model inputs'!U38="","",'Model inputs'!U38),IF('18-month forecast'!M19="","",'18-month forecast'!M19))="",0,IF(DATE(2027,10,1)=DATE(2026,10,1),IF('Model inputs'!U38="","",'Model inputs'!U38),IF('18-month forecast'!M19="","",'18-month forecast'!M19)))+'18-month forecast'!N18</f>
        <v>-36250</v>
      </c>
      <c r="O19" s="11">
        <f>IF(IF(DATE(2027,11,1)=DATE(2026,10,1),IF('Model inputs'!U38="","",'Model inputs'!U38),IF('18-month forecast'!N19="","",'18-month forecast'!N19))="",0,IF(DATE(2027,11,1)=DATE(2026,10,1),IF('Model inputs'!U38="","",'Model inputs'!U38),IF('18-month forecast'!N19="","",'18-month forecast'!N19)))+'18-month forecast'!O18</f>
        <v>-43500</v>
      </c>
      <c r="P19" s="11">
        <f>IF(IF(DATE(2027,12,1)=DATE(2026,10,1),IF('Model inputs'!U38="","",'Model inputs'!U38),IF('18-month forecast'!O19="","",'18-month forecast'!O19))="",0,IF(DATE(2027,12,1)=DATE(2026,10,1),IF('Model inputs'!U38="","",'Model inputs'!U38),IF('18-month forecast'!O19="","",'18-month forecast'!O19)))+'18-month forecast'!P18</f>
        <v>-50750</v>
      </c>
      <c r="Q19" s="11">
        <f>IF(IF(DATE(2028,1,1)=DATE(2026,10,1),IF('Model inputs'!U38="","",'Model inputs'!U38),IF('18-month forecast'!P19="","",'18-month forecast'!P19))="",0,IF(DATE(2028,1,1)=DATE(2026,10,1),IF('Model inputs'!U38="","",'Model inputs'!U38),IF('18-month forecast'!P19="","",'18-month forecast'!P19)))+'18-month forecast'!Q18</f>
        <v>-58000</v>
      </c>
      <c r="R19" s="11">
        <f>IF(IF(DATE(2028,2,1)=DATE(2026,10,1),IF('Model inputs'!U38="","",'Model inputs'!U38),IF('18-month forecast'!Q19="","",'18-month forecast'!Q19))="",0,IF(DATE(2028,2,1)=DATE(2026,10,1),IF('Model inputs'!U38="","",'Model inputs'!U38),IF('18-month forecast'!Q19="","",'18-month forecast'!Q19)))+'18-month forecast'!R18</f>
        <v>-65250</v>
      </c>
      <c r="S19" s="11">
        <f>IF(IF(DATE(2028,3,1)=DATE(2026,10,1),IF('Model inputs'!U38="","",'Model inputs'!U38),IF('18-month forecast'!R19="","",'18-month forecast'!R19))="",0,IF(DATE(2028,3,1)=DATE(2026,10,1),IF('Model inputs'!U38="","",'Model inputs'!U38),IF('18-month forecast'!R19="","",'18-month forecast'!R19)))+'18-month forecast'!S18</f>
        <v>-72500</v>
      </c>
    </row>
  </sheetData>
  <mergeCells count="1">
    <mergeCell ref="A1:S1"/>
  </mergeCells>
</worksheet>
</file>

<file path=xl/worksheets/sheet3.xml><?xml version="1.0" encoding="utf-8"?>
<worksheet xmlns="http://schemas.openxmlformats.org/spreadsheetml/2006/main">
  <dimension ref="A1:U95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4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5">
        <is>
          <t xml:space="preserve">2026-09</t>
        </is>
      </c>
      <c r="C5" t="inlineStr" s="4">
        <is>
          <t xml:space="preserve">2026-10</t>
        </is>
      </c>
      <c r="D5" t="inlineStr" s="5">
        <is>
          <t xml:space="preserve">2026-11</t>
        </is>
      </c>
      <c r="E5" t="inlineStr" s="5">
        <is>
          <t xml:space="preserve">2026-12</t>
        </is>
      </c>
      <c r="F5" t="inlineStr" s="4">
        <is>
          <t xml:space="preserve">2027-01</t>
        </is>
      </c>
      <c r="G5" t="inlineStr" s="5">
        <is>
          <t xml:space="preserve">2027-02</t>
        </is>
      </c>
      <c r="H5" t="inlineStr" s="5">
        <is>
          <t xml:space="preserve">2027-03</t>
        </is>
      </c>
      <c r="I5" t="inlineStr" s="4">
        <is>
          <t xml:space="preserve">2027-04</t>
        </is>
      </c>
      <c r="J5" t="inlineStr" s="5">
        <is>
          <t xml:space="preserve">2027-05</t>
        </is>
      </c>
      <c r="K5" t="inlineStr" s="5">
        <is>
          <t xml:space="preserve">2027-06</t>
        </is>
      </c>
      <c r="L5" t="inlineStr" s="4">
        <is>
          <t xml:space="preserve">2027-07</t>
        </is>
      </c>
      <c r="M5" t="inlineStr" s="5">
        <is>
          <t xml:space="preserve">2027-08</t>
        </is>
      </c>
      <c r="N5" t="inlineStr" s="5">
        <is>
          <t xml:space="preserve">2027-09</t>
        </is>
      </c>
      <c r="O5" t="inlineStr" s="4">
        <is>
          <t xml:space="preserve">2027-10</t>
        </is>
      </c>
      <c r="P5" t="inlineStr" s="5">
        <is>
          <t xml:space="preserve">2027-11</t>
        </is>
      </c>
      <c r="Q5" t="inlineStr" s="5">
        <is>
          <t xml:space="preserve">2027-12</t>
        </is>
      </c>
      <c r="R5" t="inlineStr" s="4">
        <is>
          <t xml:space="preserve">2028-01</t>
        </is>
      </c>
      <c r="S5" t="inlineStr" s="5">
        <is>
          <t xml:space="preserve">2028-02</t>
        </is>
      </c>
      <c r="T5" t="inlineStr" s="5">
        <is>
          <t xml:space="preserve">2028-03</t>
        </is>
      </c>
      <c r="U5" t="inlineStr" s="5">
        <is>
          <t xml:space="preserve">Value</t>
        </is>
      </c>
    </row>
    <row r="6">
      <c r="A6" t="inlineStr" s="15">
        <is>
          <t xml:space="preserve">Closing cash · Base</t>
        </is>
      </c>
      <c r="B6" s="9">
        <v>0</v>
      </c>
      <c r="C6" s="9">
        <f>IF(IF(DATE(2026,10,1)=DATE(2026,10,1),IF('Model inputs'!U38="","",'Model inputs'!U38),IF('Model inputs'!B6="","",'Model inputs'!B6))="",0,IF(DATE(2026,10,1)=DATE(2026,10,1),IF('Model inputs'!U38="","",'Model inputs'!U38),IF('Model inputs'!B6="","",'Model inputs'!B6)))+'Model inputs'!C28</f>
        <v>10750</v>
      </c>
      <c r="D6" s="9">
        <f>IF(IF(DATE(2026,11,1)=DATE(2026,10,1),IF('Model inputs'!U38="","",'Model inputs'!U38),IF('Model inputs'!C6="","",'Model inputs'!C6))="",0,IF(DATE(2026,11,1)=DATE(2026,10,1),IF('Model inputs'!U38="","",'Model inputs'!U38),IF('Model inputs'!C6="","",'Model inputs'!C6)))+'Model inputs'!D28</f>
        <v>11500</v>
      </c>
      <c r="E6" s="9">
        <f>IF(IF(DATE(2026,12,1)=DATE(2026,10,1),IF('Model inputs'!U38="","",'Model inputs'!U38),IF('Model inputs'!D6="","",'Model inputs'!D6))="",0,IF(DATE(2026,12,1)=DATE(2026,10,1),IF('Model inputs'!U38="","",'Model inputs'!U38),IF('Model inputs'!D6="","",'Model inputs'!D6)))+'Model inputs'!E28</f>
        <v>12250</v>
      </c>
      <c r="F6" s="9">
        <f>IF(IF(DATE(2027,1,1)=DATE(2026,10,1),IF('Model inputs'!U38="","",'Model inputs'!U38),IF('Model inputs'!E6="","",'Model inputs'!E6))="",0,IF(DATE(2027,1,1)=DATE(2026,10,1),IF('Model inputs'!U38="","",'Model inputs'!U38),IF('Model inputs'!E6="","",'Model inputs'!E6)))+'Model inputs'!F28</f>
        <v>13000</v>
      </c>
      <c r="G6" s="9">
        <f>IF(IF(DATE(2027,2,1)=DATE(2026,10,1),IF('Model inputs'!U38="","",'Model inputs'!U38),IF('Model inputs'!F6="","",'Model inputs'!F6))="",0,IF(DATE(2027,2,1)=DATE(2026,10,1),IF('Model inputs'!U38="","",'Model inputs'!U38),IF('Model inputs'!F6="","",'Model inputs'!F6)))+'Model inputs'!G28</f>
        <v>13750</v>
      </c>
      <c r="H6" s="9">
        <f>IF(IF(DATE(2027,3,1)=DATE(2026,10,1),IF('Model inputs'!U38="","",'Model inputs'!U38),IF('Model inputs'!G6="","",'Model inputs'!G6))="",0,IF(DATE(2027,3,1)=DATE(2026,10,1),IF('Model inputs'!U38="","",'Model inputs'!U38),IF('Model inputs'!G6="","",'Model inputs'!G6)))+'Model inputs'!H28</f>
        <v>14500</v>
      </c>
      <c r="I6" s="9">
        <f>IF(IF(DATE(2027,4,1)=DATE(2026,10,1),IF('Model inputs'!U38="","",'Model inputs'!U38),IF('Model inputs'!H6="","",'Model inputs'!H6))="",0,IF(DATE(2027,4,1)=DATE(2026,10,1),IF('Model inputs'!U38="","",'Model inputs'!U38),IF('Model inputs'!H6="","",'Model inputs'!H6)))+'Model inputs'!I28</f>
        <v>7250</v>
      </c>
      <c r="J6" s="9">
        <f>IF(IF(DATE(2027,5,1)=DATE(2026,10,1),IF('Model inputs'!U38="","",'Model inputs'!U38),IF('Model inputs'!I6="","",'Model inputs'!I6))="",0,IF(DATE(2027,5,1)=DATE(2026,10,1),IF('Model inputs'!U38="","",'Model inputs'!U38),IF('Model inputs'!I6="","",'Model inputs'!I6)))+'Model inputs'!J28</f>
        <v>0</v>
      </c>
      <c r="K6" s="9">
        <f>IF(IF(DATE(2027,6,1)=DATE(2026,10,1),IF('Model inputs'!U38="","",'Model inputs'!U38),IF('Model inputs'!J6="","",'Model inputs'!J6))="",0,IF(DATE(2027,6,1)=DATE(2026,10,1),IF('Model inputs'!U38="","",'Model inputs'!U38),IF('Model inputs'!J6="","",'Model inputs'!J6)))+'Model inputs'!K28</f>
        <v>-7250</v>
      </c>
      <c r="L6" s="9">
        <f>IF(IF(DATE(2027,7,1)=DATE(2026,10,1),IF('Model inputs'!U38="","",'Model inputs'!U38),IF('Model inputs'!K6="","",'Model inputs'!K6))="",0,IF(DATE(2027,7,1)=DATE(2026,10,1),IF('Model inputs'!U38="","",'Model inputs'!U38),IF('Model inputs'!K6="","",'Model inputs'!K6)))+'Model inputs'!L28</f>
        <v>-14500</v>
      </c>
      <c r="M6" s="9">
        <f>IF(IF(DATE(2027,8,1)=DATE(2026,10,1),IF('Model inputs'!U38="","",'Model inputs'!U38),IF('Model inputs'!L6="","",'Model inputs'!L6))="",0,IF(DATE(2027,8,1)=DATE(2026,10,1),IF('Model inputs'!U38="","",'Model inputs'!U38),IF('Model inputs'!L6="","",'Model inputs'!L6)))+'Model inputs'!M28</f>
        <v>-21750</v>
      </c>
      <c r="N6" s="9">
        <f>IF(IF(DATE(2027,9,1)=DATE(2026,10,1),IF('Model inputs'!U38="","",'Model inputs'!U38),IF('Model inputs'!M6="","",'Model inputs'!M6))="",0,IF(DATE(2027,9,1)=DATE(2026,10,1),IF('Model inputs'!U38="","",'Model inputs'!U38),IF('Model inputs'!M6="","",'Model inputs'!M6)))+'Model inputs'!N28</f>
        <v>-29000</v>
      </c>
      <c r="O6" s="9">
        <f>IF(IF(DATE(2027,10,1)=DATE(2026,10,1),IF('Model inputs'!U38="","",'Model inputs'!U38),IF('Model inputs'!N6="","",'Model inputs'!N6))="",0,IF(DATE(2027,10,1)=DATE(2026,10,1),IF('Model inputs'!U38="","",'Model inputs'!U38),IF('Model inputs'!N6="","",'Model inputs'!N6)))+'Model inputs'!O28</f>
        <v>-36250</v>
      </c>
      <c r="P6" s="9">
        <f>IF(IF(DATE(2027,11,1)=DATE(2026,10,1),IF('Model inputs'!U38="","",'Model inputs'!U38),IF('Model inputs'!O6="","",'Model inputs'!O6))="",0,IF(DATE(2027,11,1)=DATE(2026,10,1),IF('Model inputs'!U38="","",'Model inputs'!U38),IF('Model inputs'!O6="","",'Model inputs'!O6)))+'Model inputs'!P28</f>
        <v>-43500</v>
      </c>
      <c r="Q6" s="9">
        <f>IF(IF(DATE(2027,12,1)=DATE(2026,10,1),IF('Model inputs'!U38="","",'Model inputs'!U38),IF('Model inputs'!P6="","",'Model inputs'!P6))="",0,IF(DATE(2027,12,1)=DATE(2026,10,1),IF('Model inputs'!U38="","",'Model inputs'!U38),IF('Model inputs'!P6="","",'Model inputs'!P6)))+'Model inputs'!Q28</f>
        <v>-50750</v>
      </c>
      <c r="R6" s="9">
        <f>IF(IF(DATE(2028,1,1)=DATE(2026,10,1),IF('Model inputs'!U38="","",'Model inputs'!U38),IF('Model inputs'!Q6="","",'Model inputs'!Q6))="",0,IF(DATE(2028,1,1)=DATE(2026,10,1),IF('Model inputs'!U38="","",'Model inputs'!U38),IF('Model inputs'!Q6="","",'Model inputs'!Q6)))+'Model inputs'!R28</f>
        <v>-58000</v>
      </c>
      <c r="S6" s="9">
        <f>IF(IF(DATE(2028,2,1)=DATE(2026,10,1),IF('Model inputs'!U38="","",'Model inputs'!U38),IF('Model inputs'!R6="","",'Model inputs'!R6))="",0,IF(DATE(2028,2,1)=DATE(2026,10,1),IF('Model inputs'!U38="","",'Model inputs'!U38),IF('Model inputs'!R6="","",'Model inputs'!R6)))+'Model inputs'!S28</f>
        <v>-65250</v>
      </c>
      <c r="T6" s="9">
        <f>IF(IF(DATE(2028,3,1)=DATE(2026,10,1),IF('Model inputs'!U38="","",'Model inputs'!U38),IF('Model inputs'!S6="","",'Model inputs'!S6))="",0,IF(DATE(2028,3,1)=DATE(2026,10,1),IF('Model inputs'!U38="","",'Model inputs'!U38),IF('Model inputs'!S6="","",'Model inputs'!S6)))+'Model inputs'!T28</f>
        <v>-72500</v>
      </c>
    </row>
    <row r="7">
      <c r="A7" t="inlineStr" s="15">
        <is>
          <t xml:space="preserve">Closing cash · Growth</t>
        </is>
      </c>
      <c r="B7" s="9">
        <v>0</v>
      </c>
      <c r="C7" s="9">
        <f>IF(IF(DATE(2026,10,1)=DATE(2026,10,1),IF('Model inputs'!U39="","",'Model inputs'!U39),IF('Model inputs'!B7="","",'Model inputs'!B7))="",0,IF(DATE(2026,10,1)=DATE(2026,10,1),IF('Model inputs'!U39="","",'Model inputs'!U39),IF('Model inputs'!B7="","",'Model inputs'!B7)))+'Model inputs'!C29</f>
        <v>10750</v>
      </c>
      <c r="D7" s="9">
        <f>IF(IF(DATE(2026,11,1)=DATE(2026,10,1),IF('Model inputs'!U39="","",'Model inputs'!U39),IF('Model inputs'!C7="","",'Model inputs'!C7))="",0,IF(DATE(2026,11,1)=DATE(2026,10,1),IF('Model inputs'!U39="","",'Model inputs'!U39),IF('Model inputs'!C7="","",'Model inputs'!C7)))+'Model inputs'!D29</f>
        <v>11595</v>
      </c>
      <c r="E7" s="9">
        <f>IF(IF(DATE(2026,12,1)=DATE(2026,10,1),IF('Model inputs'!U39="","",'Model inputs'!U39),IF('Model inputs'!D7="","",'Model inputs'!D7))="",0,IF(DATE(2026,12,1)=DATE(2026,10,1),IF('Model inputs'!U39="","",'Model inputs'!U39),IF('Model inputs'!D7="","",'Model inputs'!D7)))+'Model inputs'!E29</f>
        <v>12544.5</v>
      </c>
      <c r="F7" s="9">
        <f>IF(IF(DATE(2027,1,1)=DATE(2026,10,1),IF('Model inputs'!U39="","",'Model inputs'!U39),IF('Model inputs'!E7="","",'Model inputs'!E7))="",0,IF(DATE(2027,1,1)=DATE(2026,10,1),IF('Model inputs'!U39="","",'Model inputs'!U39),IF('Model inputs'!E7="","",'Model inputs'!E7)))+'Model inputs'!F29</f>
        <v>13608.95</v>
      </c>
      <c r="G7" s="9">
        <f>IF(IF(DATE(2027,2,1)=DATE(2026,10,1),IF('Model inputs'!U39="","",'Model inputs'!U39),IF('Model inputs'!F7="","",'Model inputs'!F7))="",0,IF(DATE(2027,2,1)=DATE(2026,10,1),IF('Model inputs'!U39="","",'Model inputs'!U39),IF('Model inputs'!F7="","",'Model inputs'!F7)))+'Model inputs'!G29</f>
        <v>14799.845000000001</v>
      </c>
      <c r="H7" s="9">
        <f>IF(IF(DATE(2027,3,1)=DATE(2026,10,1),IF('Model inputs'!U39="","",'Model inputs'!U39),IF('Model inputs'!G7="","",'Model inputs'!G7))="",0,IF(DATE(2027,3,1)=DATE(2026,10,1),IF('Model inputs'!U39="","",'Model inputs'!U39),IF('Model inputs'!G7="","",'Model inputs'!G7)))+'Model inputs'!H29</f>
        <v>16129.829500000002</v>
      </c>
      <c r="I7" s="9">
        <f>IF(IF(DATE(2027,4,1)=DATE(2026,10,1),IF('Model inputs'!U39="","",'Model inputs'!U39),IF('Model inputs'!H7="","",'Model inputs'!H7))="",0,IF(DATE(2027,4,1)=DATE(2026,10,1),IF('Model inputs'!U39="","",'Model inputs'!U39),IF('Model inputs'!H7="","",'Model inputs'!H7)))+'Model inputs'!I29</f>
        <v>9612.812450000003</v>
      </c>
      <c r="J7" s="9">
        <f>IF(IF(DATE(2027,5,1)=DATE(2026,10,1),IF('Model inputs'!U39="","",'Model inputs'!U39),IF('Model inputs'!I7="","",'Model inputs'!I7))="",0,IF(DATE(2027,5,1)=DATE(2026,10,1),IF('Model inputs'!U39="","",'Model inputs'!U39),IF('Model inputs'!I7="","",'Model inputs'!I7)))+'Model inputs'!J29</f>
        <v>3264.093695000005</v>
      </c>
      <c r="K7" s="9">
        <f>IF(IF(DATE(2027,6,1)=DATE(2026,10,1),IF('Model inputs'!U39="","",'Model inputs'!U39),IF('Model inputs'!J7="","",'Model inputs'!J7))="",0,IF(DATE(2027,6,1)=DATE(2026,10,1),IF('Model inputs'!U39="","",'Model inputs'!U39),IF('Model inputs'!J7="","",'Model inputs'!J7)))+'Model inputs'!K29</f>
        <v>-2899.496935499994</v>
      </c>
      <c r="L7" s="9">
        <f>IF(IF(DATE(2027,7,1)=DATE(2026,10,1),IF('Model inputs'!U39="","",'Model inputs'!U39),IF('Model inputs'!K7="","",'Model inputs'!K7))="",0,IF(DATE(2027,7,1)=DATE(2026,10,1),IF('Model inputs'!U39="","",'Model inputs'!U39),IF('Model inputs'!K7="","",'Model inputs'!K7)))+'Model inputs'!L29</f>
        <v>-8859.446629049991</v>
      </c>
      <c r="M7" s="9">
        <f>IF(IF(DATE(2027,8,1)=DATE(2026,10,1),IF('Model inputs'!U39="","",'Model inputs'!U39),IF('Model inputs'!L7="","",'Model inputs'!L7))="",0,IF(DATE(2027,8,1)=DATE(2026,10,1),IF('Model inputs'!U39="","",'Model inputs'!U39),IF('Model inputs'!L7="","",'Model inputs'!L7)))+'Model inputs'!M29</f>
        <v>-14595.391291954988</v>
      </c>
      <c r="N7" s="9">
        <f>IF(IF(DATE(2027,9,1)=DATE(2026,10,1),IF('Model inputs'!U39="","",'Model inputs'!U39),IF('Model inputs'!M7="","",'Model inputs'!M7))="",0,IF(DATE(2027,9,1)=DATE(2026,10,1),IF('Model inputs'!U39="","",'Model inputs'!U39),IF('Model inputs'!M7="","",'Model inputs'!M7)))+'Model inputs'!N29</f>
        <v>-20084.930421150486</v>
      </c>
      <c r="O7" s="9">
        <f>IF(IF(DATE(2027,10,1)=DATE(2026,10,1),IF('Model inputs'!U39="","",'Model inputs'!U39),IF('Model inputs'!N7="","",'Model inputs'!N7))="",0,IF(DATE(2027,10,1)=DATE(2026,10,1),IF('Model inputs'!U39="","",'Model inputs'!U39),IF('Model inputs'!N7="","",'Model inputs'!N7)))+'Model inputs'!O29</f>
        <v>-25303.42346326553</v>
      </c>
      <c r="P7" s="9">
        <f>IF(IF(DATE(2027,11,1)=DATE(2026,10,1),IF('Model inputs'!U39="","",'Model inputs'!U39),IF('Model inputs'!O7="","",'Model inputs'!O7))="",0,IF(DATE(2027,11,1)=DATE(2026,10,1),IF('Model inputs'!U39="","",'Model inputs'!U39),IF('Model inputs'!O7="","",'Model inputs'!O7)))+'Model inputs'!P29</f>
        <v>-30223.76580959208</v>
      </c>
      <c r="Q7" s="9">
        <f>IF(IF(DATE(2027,12,1)=DATE(2026,10,1),IF('Model inputs'!U39="","",'Model inputs'!U39),IF('Model inputs'!P7="","",'Model inputs'!P7))="",0,IF(DATE(2027,12,1)=DATE(2026,10,1),IF('Model inputs'!U39="","",'Model inputs'!U39),IF('Model inputs'!P7="","",'Model inputs'!P7)))+'Model inputs'!Q29</f>
        <v>-34816.142390551286</v>
      </c>
      <c r="R7" s="9">
        <f>IF(IF(DATE(2028,1,1)=DATE(2026,10,1),IF('Model inputs'!U39="","",'Model inputs'!U39),IF('Model inputs'!Q7="","",'Model inputs'!Q7))="",0,IF(DATE(2028,1,1)=DATE(2026,10,1),IF('Model inputs'!U39="","",'Model inputs'!U39),IF('Model inputs'!Q7="","",'Model inputs'!Q7)))+'Model inputs'!R29</f>
        <v>-39047.75662960641</v>
      </c>
      <c r="S7" s="9">
        <f>IF(IF(DATE(2028,2,1)=DATE(2026,10,1),IF('Model inputs'!U39="","",'Model inputs'!U39),IF('Model inputs'!R7="","",'Model inputs'!R7))="",0,IF(DATE(2028,2,1)=DATE(2026,10,1),IF('Model inputs'!U39="","",'Model inputs'!U39),IF('Model inputs'!R7="","",'Model inputs'!R7)))+'Model inputs'!S29</f>
        <v>-42882.53229256705</v>
      </c>
      <c r="T7" s="9">
        <f>IF(IF(DATE(2028,3,1)=DATE(2026,10,1),IF('Model inputs'!U39="","",'Model inputs'!U39),IF('Model inputs'!S7="","",'Model inputs'!S7))="",0,IF(DATE(2028,3,1)=DATE(2026,10,1),IF('Model inputs'!U39="","",'Model inputs'!U39),IF('Model inputs'!S7="","",'Model inputs'!S7)))+'Model inputs'!T29</f>
        <v>-46280.78552182375</v>
      </c>
    </row>
    <row r="8">
      <c r="A8" t="inlineStr" s="15">
        <is>
          <t xml:space="preserve">Fixed infrastructure · 18-month forecast</t>
        </is>
      </c>
      <c r="U8" s="10">
        <f>200</f>
        <v>200</v>
      </c>
    </row>
    <row r="9">
      <c r="A9" t="inlineStr" s="15">
        <is>
          <t xml:space="preserve">Founder pay starts</t>
        </is>
      </c>
      <c r="U9" s="16">
        <v/>
      </c>
    </row>
    <row r="10" outlineLevel="1">
      <c r="A10" t="inlineStr" s="17">
        <is>
          <t xml:space="preserve">Founder pay starts &gt; Placeholder founder 1</t>
        </is>
      </c>
      <c r="U10" s="18">
        <f>DATE(2027,4,1)</f>
        <v>46478</v>
      </c>
    </row>
    <row r="11" outlineLevel="1">
      <c r="A11" t="inlineStr" s="17">
        <is>
          <t xml:space="preserve">Founder pay starts &gt; Placeholder founder 2</t>
        </is>
      </c>
      <c r="U11" s="18">
        <f>DATE(2027,4,1)</f>
        <v>46478</v>
      </c>
    </row>
    <row r="12" outlineLevel="1">
      <c r="A12" t="inlineStr" s="17">
        <is>
          <t xml:space="preserve">Founder pay starts &gt; Placeholder founder 3</t>
        </is>
      </c>
      <c r="U12" s="18">
        <f>DATE(2027,4,1)</f>
        <v>46478</v>
      </c>
    </row>
    <row r="13" outlineLevel="1">
      <c r="A13" t="inlineStr" s="17">
        <is>
          <t xml:space="preserve">Founder pay starts &gt; Placeholder founder 4</t>
        </is>
      </c>
      <c r="U13" s="18">
        <f>DATE(2027,4,1)</f>
        <v>46478</v>
      </c>
    </row>
    <row r="14">
      <c r="A14" t="inlineStr" s="15">
        <is>
          <t xml:space="preserve">Founder payroll</t>
        </is>
      </c>
      <c r="B14" s="11">
        <f>SUM('Model inputs'!B15,'Model inputs'!B16,'Model inputs'!B17,'Model inputs'!B18)</f>
        <v>0</v>
      </c>
      <c r="C14" s="11">
        <f>SUM('Model inputs'!C15,'Model inputs'!C16,'Model inputs'!C17,'Model inputs'!C18)</f>
        <v>0</v>
      </c>
      <c r="D14" s="11">
        <f>SUM('Model inputs'!D15,'Model inputs'!D16,'Model inputs'!D17,'Model inputs'!D18)</f>
        <v>0</v>
      </c>
      <c r="E14" s="11">
        <f>SUM('Model inputs'!E15,'Model inputs'!E16,'Model inputs'!E17,'Model inputs'!E18)</f>
        <v>0</v>
      </c>
      <c r="F14" s="11">
        <f>SUM('Model inputs'!F15,'Model inputs'!F16,'Model inputs'!F17,'Model inputs'!F18)</f>
        <v>0</v>
      </c>
      <c r="G14" s="11">
        <f>SUM('Model inputs'!G15,'Model inputs'!G16,'Model inputs'!G17,'Model inputs'!G18)</f>
        <v>0</v>
      </c>
      <c r="H14" s="11">
        <f>SUM('Model inputs'!H15,'Model inputs'!H16,'Model inputs'!H17,'Model inputs'!H18)</f>
        <v>0</v>
      </c>
      <c r="I14" s="11">
        <f>SUM('Model inputs'!I15,'Model inputs'!I16,'Model inputs'!I17,'Model inputs'!I18)</f>
        <v>8000</v>
      </c>
      <c r="J14" s="11">
        <f>SUM('Model inputs'!J15,'Model inputs'!J16,'Model inputs'!J17,'Model inputs'!J18)</f>
        <v>8000</v>
      </c>
      <c r="K14" s="11">
        <f>SUM('Model inputs'!K15,'Model inputs'!K16,'Model inputs'!K17,'Model inputs'!K18)</f>
        <v>8000</v>
      </c>
      <c r="L14" s="11">
        <f>SUM('Model inputs'!L15,'Model inputs'!L16,'Model inputs'!L17,'Model inputs'!L18)</f>
        <v>8000</v>
      </c>
      <c r="M14" s="11">
        <f>SUM('Model inputs'!M15,'Model inputs'!M16,'Model inputs'!M17,'Model inputs'!M18)</f>
        <v>8000</v>
      </c>
      <c r="N14" s="11">
        <f>SUM('Model inputs'!N15,'Model inputs'!N16,'Model inputs'!N17,'Model inputs'!N18)</f>
        <v>8000</v>
      </c>
      <c r="O14" s="11">
        <f>SUM('Model inputs'!O15,'Model inputs'!O16,'Model inputs'!O17,'Model inputs'!O18)</f>
        <v>8000</v>
      </c>
      <c r="P14" s="11">
        <f>SUM('Model inputs'!P15,'Model inputs'!P16,'Model inputs'!P17,'Model inputs'!P18)</f>
        <v>8000</v>
      </c>
      <c r="Q14" s="11">
        <f>SUM('Model inputs'!Q15,'Model inputs'!Q16,'Model inputs'!Q17,'Model inputs'!Q18)</f>
        <v>8000</v>
      </c>
      <c r="R14" s="11">
        <f>SUM('Model inputs'!R15,'Model inputs'!R16,'Model inputs'!R17,'Model inputs'!R18)</f>
        <v>8000</v>
      </c>
      <c r="S14" s="11">
        <f>SUM('Model inputs'!S15,'Model inputs'!S16,'Model inputs'!S17,'Model inputs'!S18)</f>
        <v>8000</v>
      </c>
      <c r="T14" s="11">
        <f>SUM('Model inputs'!T15,'Model inputs'!T16,'Model inputs'!T17,'Model inputs'!T18)</f>
        <v>8000</v>
      </c>
    </row>
    <row r="15" outlineLevel="1">
      <c r="A15" t="inlineStr" s="17">
        <is>
          <t xml:space="preserve">Founder payroll &gt; Placeholder founder 1</t>
        </is>
      </c>
      <c r="B15" s="9">
        <f>0</f>
        <v>0</v>
      </c>
      <c r="C15" s="9">
        <f>IF(IF(IF(ISERROR(DATE(2026,10,1)&gt;=DATE(YEAR('Model inputs'!U10),MONTH('Model inputs'!U10),1)),DATE(2026,10,1)&gt;=DATE(YEAR('Model inputs'!U10),MONTH('Model inputs'!U10),1),IF(DATE(YEAR('Model inputs'!U10),MONTH('Model inputs'!U10),1)="","",DATE(2026,10,1)&gt;=DATE(YEAR('Model inputs'!U10),MONTH('Model inputs'!U10),1)))="",FALSE,IF(ISERROR(DATE(2026,10,1)&gt;=DATE(YEAR('Model inputs'!U10),MONTH('Model inputs'!U10),1)),DATE(2026,10,1)&gt;=DATE(YEAR('Model inputs'!U10),MONTH('Model inputs'!U10),1),IF(DATE(YEAR('Model inputs'!U10),MONTH('Model inputs'!U10),1)="","",DATE(2026,10,1)&gt;=DATE(YEAR('Model inputs'!U10),MONTH('Model inputs'!U10),1)))),IF('Model inputs'!U23="","",'Model inputs'!U23),0)</f>
        <v>0</v>
      </c>
      <c r="D15" s="9">
        <f>IF(IF(IF(ISERROR(DATE(2026,11,1)&gt;=DATE(YEAR('Model inputs'!U10),MONTH('Model inputs'!U10),1)),DATE(2026,11,1)&gt;=DATE(YEAR('Model inputs'!U10),MONTH('Model inputs'!U10),1),IF(DATE(YEAR('Model inputs'!U10),MONTH('Model inputs'!U10),1)="","",DATE(2026,11,1)&gt;=DATE(YEAR('Model inputs'!U10),MONTH('Model inputs'!U10),1)))="",FALSE,IF(ISERROR(DATE(2026,11,1)&gt;=DATE(YEAR('Model inputs'!U10),MONTH('Model inputs'!U10),1)),DATE(2026,11,1)&gt;=DATE(YEAR('Model inputs'!U10),MONTH('Model inputs'!U10),1),IF(DATE(YEAR('Model inputs'!U10),MONTH('Model inputs'!U10),1)="","",DATE(2026,11,1)&gt;=DATE(YEAR('Model inputs'!U10),MONTH('Model inputs'!U10),1)))),IF('Model inputs'!U23="","",'Model inputs'!U23),0)</f>
        <v>0</v>
      </c>
      <c r="E15" s="9">
        <f>IF(IF(IF(ISERROR(DATE(2026,12,1)&gt;=DATE(YEAR('Model inputs'!U10),MONTH('Model inputs'!U10),1)),DATE(2026,12,1)&gt;=DATE(YEAR('Model inputs'!U10),MONTH('Model inputs'!U10),1),IF(DATE(YEAR('Model inputs'!U10),MONTH('Model inputs'!U10),1)="","",DATE(2026,12,1)&gt;=DATE(YEAR('Model inputs'!U10),MONTH('Model inputs'!U10),1)))="",FALSE,IF(ISERROR(DATE(2026,12,1)&gt;=DATE(YEAR('Model inputs'!U10),MONTH('Model inputs'!U10),1)),DATE(2026,12,1)&gt;=DATE(YEAR('Model inputs'!U10),MONTH('Model inputs'!U10),1),IF(DATE(YEAR('Model inputs'!U10),MONTH('Model inputs'!U10),1)="","",DATE(2026,12,1)&gt;=DATE(YEAR('Model inputs'!U10),MONTH('Model inputs'!U10),1)))),IF('Model inputs'!U23="","",'Model inputs'!U23),0)</f>
        <v>0</v>
      </c>
      <c r="F15" s="9">
        <f>IF(IF(IF(ISERROR(DATE(2027,1,1)&gt;=DATE(YEAR('Model inputs'!U10),MONTH('Model inputs'!U10),1)),DATE(2027,1,1)&gt;=DATE(YEAR('Model inputs'!U10),MONTH('Model inputs'!U10),1),IF(DATE(YEAR('Model inputs'!U10),MONTH('Model inputs'!U10),1)="","",DATE(2027,1,1)&gt;=DATE(YEAR('Model inputs'!U10),MONTH('Model inputs'!U10),1)))="",FALSE,IF(ISERROR(DATE(2027,1,1)&gt;=DATE(YEAR('Model inputs'!U10),MONTH('Model inputs'!U10),1)),DATE(2027,1,1)&gt;=DATE(YEAR('Model inputs'!U10),MONTH('Model inputs'!U10),1),IF(DATE(YEAR('Model inputs'!U10),MONTH('Model inputs'!U10),1)="","",DATE(2027,1,1)&gt;=DATE(YEAR('Model inputs'!U10),MONTH('Model inputs'!U10),1)))),IF('Model inputs'!U23="","",'Model inputs'!U23),0)</f>
        <v>0</v>
      </c>
      <c r="G15" s="9">
        <f>IF(IF(IF(ISERROR(DATE(2027,2,1)&gt;=DATE(YEAR('Model inputs'!U10),MONTH('Model inputs'!U10),1)),DATE(2027,2,1)&gt;=DATE(YEAR('Model inputs'!U10),MONTH('Model inputs'!U10),1),IF(DATE(YEAR('Model inputs'!U10),MONTH('Model inputs'!U10),1)="","",DATE(2027,2,1)&gt;=DATE(YEAR('Model inputs'!U10),MONTH('Model inputs'!U10),1)))="",FALSE,IF(ISERROR(DATE(2027,2,1)&gt;=DATE(YEAR('Model inputs'!U10),MONTH('Model inputs'!U10),1)),DATE(2027,2,1)&gt;=DATE(YEAR('Model inputs'!U10),MONTH('Model inputs'!U10),1),IF(DATE(YEAR('Model inputs'!U10),MONTH('Model inputs'!U10),1)="","",DATE(2027,2,1)&gt;=DATE(YEAR('Model inputs'!U10),MONTH('Model inputs'!U10),1)))),IF('Model inputs'!U23="","",'Model inputs'!U23),0)</f>
        <v>0</v>
      </c>
      <c r="H15" s="9">
        <f>IF(IF(IF(ISERROR(DATE(2027,3,1)&gt;=DATE(YEAR('Model inputs'!U10),MONTH('Model inputs'!U10),1)),DATE(2027,3,1)&gt;=DATE(YEAR('Model inputs'!U10),MONTH('Model inputs'!U10),1),IF(DATE(YEAR('Model inputs'!U10),MONTH('Model inputs'!U10),1)="","",DATE(2027,3,1)&gt;=DATE(YEAR('Model inputs'!U10),MONTH('Model inputs'!U10),1)))="",FALSE,IF(ISERROR(DATE(2027,3,1)&gt;=DATE(YEAR('Model inputs'!U10),MONTH('Model inputs'!U10),1)),DATE(2027,3,1)&gt;=DATE(YEAR('Model inputs'!U10),MONTH('Model inputs'!U10),1),IF(DATE(YEAR('Model inputs'!U10),MONTH('Model inputs'!U10),1)="","",DATE(2027,3,1)&gt;=DATE(YEAR('Model inputs'!U10),MONTH('Model inputs'!U10),1)))),IF('Model inputs'!U23="","",'Model inputs'!U23),0)</f>
        <v>0</v>
      </c>
      <c r="I15" s="9">
        <f>IF(IF(IF(ISERROR(DATE(2027,4,1)&gt;=DATE(YEAR('Model inputs'!U10),MONTH('Model inputs'!U10),1)),DATE(2027,4,1)&gt;=DATE(YEAR('Model inputs'!U10),MONTH('Model inputs'!U10),1),IF(DATE(YEAR('Model inputs'!U10),MONTH('Model inputs'!U10),1)="","",DATE(2027,4,1)&gt;=DATE(YEAR('Model inputs'!U10),MONTH('Model inputs'!U10),1)))="",FALSE,IF(ISERROR(DATE(2027,4,1)&gt;=DATE(YEAR('Model inputs'!U10),MONTH('Model inputs'!U10),1)),DATE(2027,4,1)&gt;=DATE(YEAR('Model inputs'!U10),MONTH('Model inputs'!U10),1),IF(DATE(YEAR('Model inputs'!U10),MONTH('Model inputs'!U10),1)="","",DATE(2027,4,1)&gt;=DATE(YEAR('Model inputs'!U10),MONTH('Model inputs'!U10),1)))),IF('Model inputs'!U23="","",'Model inputs'!U23),0)</f>
        <v>2000</v>
      </c>
      <c r="J15" s="9">
        <f>IF(IF(IF(ISERROR(DATE(2027,5,1)&gt;=DATE(YEAR('Model inputs'!U10),MONTH('Model inputs'!U10),1)),DATE(2027,5,1)&gt;=DATE(YEAR('Model inputs'!U10),MONTH('Model inputs'!U10),1),IF(DATE(YEAR('Model inputs'!U10),MONTH('Model inputs'!U10),1)="","",DATE(2027,5,1)&gt;=DATE(YEAR('Model inputs'!U10),MONTH('Model inputs'!U10),1)))="",FALSE,IF(ISERROR(DATE(2027,5,1)&gt;=DATE(YEAR('Model inputs'!U10),MONTH('Model inputs'!U10),1)),DATE(2027,5,1)&gt;=DATE(YEAR('Model inputs'!U10),MONTH('Model inputs'!U10),1),IF(DATE(YEAR('Model inputs'!U10),MONTH('Model inputs'!U10),1)="","",DATE(2027,5,1)&gt;=DATE(YEAR('Model inputs'!U10),MONTH('Model inputs'!U10),1)))),IF('Model inputs'!U23="","",'Model inputs'!U23),0)</f>
        <v>2000</v>
      </c>
      <c r="K15" s="9">
        <f>IF(IF(IF(ISERROR(DATE(2027,6,1)&gt;=DATE(YEAR('Model inputs'!U10),MONTH('Model inputs'!U10),1)),DATE(2027,6,1)&gt;=DATE(YEAR('Model inputs'!U10),MONTH('Model inputs'!U10),1),IF(DATE(YEAR('Model inputs'!U10),MONTH('Model inputs'!U10),1)="","",DATE(2027,6,1)&gt;=DATE(YEAR('Model inputs'!U10),MONTH('Model inputs'!U10),1)))="",FALSE,IF(ISERROR(DATE(2027,6,1)&gt;=DATE(YEAR('Model inputs'!U10),MONTH('Model inputs'!U10),1)),DATE(2027,6,1)&gt;=DATE(YEAR('Model inputs'!U10),MONTH('Model inputs'!U10),1),IF(DATE(YEAR('Model inputs'!U10),MONTH('Model inputs'!U10),1)="","",DATE(2027,6,1)&gt;=DATE(YEAR('Model inputs'!U10),MONTH('Model inputs'!U10),1)))),IF('Model inputs'!U23="","",'Model inputs'!U23),0)</f>
        <v>2000</v>
      </c>
      <c r="L15" s="9">
        <f>IF(IF(IF(ISERROR(DATE(2027,7,1)&gt;=DATE(YEAR('Model inputs'!U10),MONTH('Model inputs'!U10),1)),DATE(2027,7,1)&gt;=DATE(YEAR('Model inputs'!U10),MONTH('Model inputs'!U10),1),IF(DATE(YEAR('Model inputs'!U10),MONTH('Model inputs'!U10),1)="","",DATE(2027,7,1)&gt;=DATE(YEAR('Model inputs'!U10),MONTH('Model inputs'!U10),1)))="",FALSE,IF(ISERROR(DATE(2027,7,1)&gt;=DATE(YEAR('Model inputs'!U10),MONTH('Model inputs'!U10),1)),DATE(2027,7,1)&gt;=DATE(YEAR('Model inputs'!U10),MONTH('Model inputs'!U10),1),IF(DATE(YEAR('Model inputs'!U10),MONTH('Model inputs'!U10),1)="","",DATE(2027,7,1)&gt;=DATE(YEAR('Model inputs'!U10),MONTH('Model inputs'!U10),1)))),IF('Model inputs'!U23="","",'Model inputs'!U23),0)</f>
        <v>2000</v>
      </c>
      <c r="M15" s="9">
        <f>IF(IF(IF(ISERROR(DATE(2027,8,1)&gt;=DATE(YEAR('Model inputs'!U10),MONTH('Model inputs'!U10),1)),DATE(2027,8,1)&gt;=DATE(YEAR('Model inputs'!U10),MONTH('Model inputs'!U10),1),IF(DATE(YEAR('Model inputs'!U10),MONTH('Model inputs'!U10),1)="","",DATE(2027,8,1)&gt;=DATE(YEAR('Model inputs'!U10),MONTH('Model inputs'!U10),1)))="",FALSE,IF(ISERROR(DATE(2027,8,1)&gt;=DATE(YEAR('Model inputs'!U10),MONTH('Model inputs'!U10),1)),DATE(2027,8,1)&gt;=DATE(YEAR('Model inputs'!U10),MONTH('Model inputs'!U10),1),IF(DATE(YEAR('Model inputs'!U10),MONTH('Model inputs'!U10),1)="","",DATE(2027,8,1)&gt;=DATE(YEAR('Model inputs'!U10),MONTH('Model inputs'!U10),1)))),IF('Model inputs'!U23="","",'Model inputs'!U23),0)</f>
        <v>2000</v>
      </c>
      <c r="N15" s="9">
        <f>IF(IF(IF(ISERROR(DATE(2027,9,1)&gt;=DATE(YEAR('Model inputs'!U10),MONTH('Model inputs'!U10),1)),DATE(2027,9,1)&gt;=DATE(YEAR('Model inputs'!U10),MONTH('Model inputs'!U10),1),IF(DATE(YEAR('Model inputs'!U10),MONTH('Model inputs'!U10),1)="","",DATE(2027,9,1)&gt;=DATE(YEAR('Model inputs'!U10),MONTH('Model inputs'!U10),1)))="",FALSE,IF(ISERROR(DATE(2027,9,1)&gt;=DATE(YEAR('Model inputs'!U10),MONTH('Model inputs'!U10),1)),DATE(2027,9,1)&gt;=DATE(YEAR('Model inputs'!U10),MONTH('Model inputs'!U10),1),IF(DATE(YEAR('Model inputs'!U10),MONTH('Model inputs'!U10),1)="","",DATE(2027,9,1)&gt;=DATE(YEAR('Model inputs'!U10),MONTH('Model inputs'!U10),1)))),IF('Model inputs'!U23="","",'Model inputs'!U23),0)</f>
        <v>2000</v>
      </c>
      <c r="O15" s="9">
        <f>IF(IF(IF(ISERROR(DATE(2027,10,1)&gt;=DATE(YEAR('Model inputs'!U10),MONTH('Model inputs'!U10),1)),DATE(2027,10,1)&gt;=DATE(YEAR('Model inputs'!U10),MONTH('Model inputs'!U10),1),IF(DATE(YEAR('Model inputs'!U10),MONTH('Model inputs'!U10),1)="","",DATE(2027,10,1)&gt;=DATE(YEAR('Model inputs'!U10),MONTH('Model inputs'!U10),1)))="",FALSE,IF(ISERROR(DATE(2027,10,1)&gt;=DATE(YEAR('Model inputs'!U10),MONTH('Model inputs'!U10),1)),DATE(2027,10,1)&gt;=DATE(YEAR('Model inputs'!U10),MONTH('Model inputs'!U10),1),IF(DATE(YEAR('Model inputs'!U10),MONTH('Model inputs'!U10),1)="","",DATE(2027,10,1)&gt;=DATE(YEAR('Model inputs'!U10),MONTH('Model inputs'!U10),1)))),IF('Model inputs'!U23="","",'Model inputs'!U23),0)</f>
        <v>2000</v>
      </c>
      <c r="P15" s="9">
        <f>IF(IF(IF(ISERROR(DATE(2027,11,1)&gt;=DATE(YEAR('Model inputs'!U10),MONTH('Model inputs'!U10),1)),DATE(2027,11,1)&gt;=DATE(YEAR('Model inputs'!U10),MONTH('Model inputs'!U10),1),IF(DATE(YEAR('Model inputs'!U10),MONTH('Model inputs'!U10),1)="","",DATE(2027,11,1)&gt;=DATE(YEAR('Model inputs'!U10),MONTH('Model inputs'!U10),1)))="",FALSE,IF(ISERROR(DATE(2027,11,1)&gt;=DATE(YEAR('Model inputs'!U10),MONTH('Model inputs'!U10),1)),DATE(2027,11,1)&gt;=DATE(YEAR('Model inputs'!U10),MONTH('Model inputs'!U10),1),IF(DATE(YEAR('Model inputs'!U10),MONTH('Model inputs'!U10),1)="","",DATE(2027,11,1)&gt;=DATE(YEAR('Model inputs'!U10),MONTH('Model inputs'!U10),1)))),IF('Model inputs'!U23="","",'Model inputs'!U23),0)</f>
        <v>2000</v>
      </c>
      <c r="Q15" s="9">
        <f>IF(IF(IF(ISERROR(DATE(2027,12,1)&gt;=DATE(YEAR('Model inputs'!U10),MONTH('Model inputs'!U10),1)),DATE(2027,12,1)&gt;=DATE(YEAR('Model inputs'!U10),MONTH('Model inputs'!U10),1),IF(DATE(YEAR('Model inputs'!U10),MONTH('Model inputs'!U10),1)="","",DATE(2027,12,1)&gt;=DATE(YEAR('Model inputs'!U10),MONTH('Model inputs'!U10),1)))="",FALSE,IF(ISERROR(DATE(2027,12,1)&gt;=DATE(YEAR('Model inputs'!U10),MONTH('Model inputs'!U10),1)),DATE(2027,12,1)&gt;=DATE(YEAR('Model inputs'!U10),MONTH('Model inputs'!U10),1),IF(DATE(YEAR('Model inputs'!U10),MONTH('Model inputs'!U10),1)="","",DATE(2027,12,1)&gt;=DATE(YEAR('Model inputs'!U10),MONTH('Model inputs'!U10),1)))),IF('Model inputs'!U23="","",'Model inputs'!U23),0)</f>
        <v>2000</v>
      </c>
      <c r="R15" s="9">
        <f>IF(IF(IF(ISERROR(DATE(2028,1,1)&gt;=DATE(YEAR('Model inputs'!U10),MONTH('Model inputs'!U10),1)),DATE(2028,1,1)&gt;=DATE(YEAR('Model inputs'!U10),MONTH('Model inputs'!U10),1),IF(DATE(YEAR('Model inputs'!U10),MONTH('Model inputs'!U10),1)="","",DATE(2028,1,1)&gt;=DATE(YEAR('Model inputs'!U10),MONTH('Model inputs'!U10),1)))="",FALSE,IF(ISERROR(DATE(2028,1,1)&gt;=DATE(YEAR('Model inputs'!U10),MONTH('Model inputs'!U10),1)),DATE(2028,1,1)&gt;=DATE(YEAR('Model inputs'!U10),MONTH('Model inputs'!U10),1),IF(DATE(YEAR('Model inputs'!U10),MONTH('Model inputs'!U10),1)="","",DATE(2028,1,1)&gt;=DATE(YEAR('Model inputs'!U10),MONTH('Model inputs'!U10),1)))),IF('Model inputs'!U23="","",'Model inputs'!U23),0)</f>
        <v>2000</v>
      </c>
      <c r="S15" s="9">
        <f>IF(IF(IF(ISERROR(DATE(2028,2,1)&gt;=DATE(YEAR('Model inputs'!U10),MONTH('Model inputs'!U10),1)),DATE(2028,2,1)&gt;=DATE(YEAR('Model inputs'!U10),MONTH('Model inputs'!U10),1),IF(DATE(YEAR('Model inputs'!U10),MONTH('Model inputs'!U10),1)="","",DATE(2028,2,1)&gt;=DATE(YEAR('Model inputs'!U10),MONTH('Model inputs'!U10),1)))="",FALSE,IF(ISERROR(DATE(2028,2,1)&gt;=DATE(YEAR('Model inputs'!U10),MONTH('Model inputs'!U10),1)),DATE(2028,2,1)&gt;=DATE(YEAR('Model inputs'!U10),MONTH('Model inputs'!U10),1),IF(DATE(YEAR('Model inputs'!U10),MONTH('Model inputs'!U10),1)="","",DATE(2028,2,1)&gt;=DATE(YEAR('Model inputs'!U10),MONTH('Model inputs'!U10),1)))),IF('Model inputs'!U23="","",'Model inputs'!U23),0)</f>
        <v>2000</v>
      </c>
      <c r="T15" s="9">
        <f>IF(IF(IF(ISERROR(DATE(2028,3,1)&gt;=DATE(YEAR('Model inputs'!U10),MONTH('Model inputs'!U10),1)),DATE(2028,3,1)&gt;=DATE(YEAR('Model inputs'!U10),MONTH('Model inputs'!U10),1),IF(DATE(YEAR('Model inputs'!U10),MONTH('Model inputs'!U10),1)="","",DATE(2028,3,1)&gt;=DATE(YEAR('Model inputs'!U10),MONTH('Model inputs'!U10),1)))="",FALSE,IF(ISERROR(DATE(2028,3,1)&gt;=DATE(YEAR('Model inputs'!U10),MONTH('Model inputs'!U10),1)),DATE(2028,3,1)&gt;=DATE(YEAR('Model inputs'!U10),MONTH('Model inputs'!U10),1),IF(DATE(YEAR('Model inputs'!U10),MONTH('Model inputs'!U10),1)="","",DATE(2028,3,1)&gt;=DATE(YEAR('Model inputs'!U10),MONTH('Model inputs'!U10),1)))),IF('Model inputs'!U23="","",'Model inputs'!U23),0)</f>
        <v>2000</v>
      </c>
    </row>
    <row r="16" outlineLevel="1">
      <c r="A16" t="inlineStr" s="17">
        <is>
          <t xml:space="preserve">Founder payroll &gt; Placeholder founder 2</t>
        </is>
      </c>
      <c r="B16" s="9">
        <f>0</f>
        <v>0</v>
      </c>
      <c r="C16" s="9">
        <f>IF(IF(IF(ISERROR(DATE(2026,10,1)&gt;=DATE(YEAR('Model inputs'!U11),MONTH('Model inputs'!U11),1)),DATE(2026,10,1)&gt;=DATE(YEAR('Model inputs'!U11),MONTH('Model inputs'!U11),1),IF(DATE(YEAR('Model inputs'!U11),MONTH('Model inputs'!U11),1)="","",DATE(2026,10,1)&gt;=DATE(YEAR('Model inputs'!U11),MONTH('Model inputs'!U11),1)))="",FALSE,IF(ISERROR(DATE(2026,10,1)&gt;=DATE(YEAR('Model inputs'!U11),MONTH('Model inputs'!U11),1)),DATE(2026,10,1)&gt;=DATE(YEAR('Model inputs'!U11),MONTH('Model inputs'!U11),1),IF(DATE(YEAR('Model inputs'!U11),MONTH('Model inputs'!U11),1)="","",DATE(2026,10,1)&gt;=DATE(YEAR('Model inputs'!U11),MONTH('Model inputs'!U11),1)))),IF('Model inputs'!U24="","",'Model inputs'!U24),0)</f>
        <v>0</v>
      </c>
      <c r="D16" s="9">
        <f>IF(IF(IF(ISERROR(DATE(2026,11,1)&gt;=DATE(YEAR('Model inputs'!U11),MONTH('Model inputs'!U11),1)),DATE(2026,11,1)&gt;=DATE(YEAR('Model inputs'!U11),MONTH('Model inputs'!U11),1),IF(DATE(YEAR('Model inputs'!U11),MONTH('Model inputs'!U11),1)="","",DATE(2026,11,1)&gt;=DATE(YEAR('Model inputs'!U11),MONTH('Model inputs'!U11),1)))="",FALSE,IF(ISERROR(DATE(2026,11,1)&gt;=DATE(YEAR('Model inputs'!U11),MONTH('Model inputs'!U11),1)),DATE(2026,11,1)&gt;=DATE(YEAR('Model inputs'!U11),MONTH('Model inputs'!U11),1),IF(DATE(YEAR('Model inputs'!U11),MONTH('Model inputs'!U11),1)="","",DATE(2026,11,1)&gt;=DATE(YEAR('Model inputs'!U11),MONTH('Model inputs'!U11),1)))),IF('Model inputs'!U24="","",'Model inputs'!U24),0)</f>
        <v>0</v>
      </c>
      <c r="E16" s="9">
        <f>IF(IF(IF(ISERROR(DATE(2026,12,1)&gt;=DATE(YEAR('Model inputs'!U11),MONTH('Model inputs'!U11),1)),DATE(2026,12,1)&gt;=DATE(YEAR('Model inputs'!U11),MONTH('Model inputs'!U11),1),IF(DATE(YEAR('Model inputs'!U11),MONTH('Model inputs'!U11),1)="","",DATE(2026,12,1)&gt;=DATE(YEAR('Model inputs'!U11),MONTH('Model inputs'!U11),1)))="",FALSE,IF(ISERROR(DATE(2026,12,1)&gt;=DATE(YEAR('Model inputs'!U11),MONTH('Model inputs'!U11),1)),DATE(2026,12,1)&gt;=DATE(YEAR('Model inputs'!U11),MONTH('Model inputs'!U11),1),IF(DATE(YEAR('Model inputs'!U11),MONTH('Model inputs'!U11),1)="","",DATE(2026,12,1)&gt;=DATE(YEAR('Model inputs'!U11),MONTH('Model inputs'!U11),1)))),IF('Model inputs'!U24="","",'Model inputs'!U24),0)</f>
        <v>0</v>
      </c>
      <c r="F16" s="9">
        <f>IF(IF(IF(ISERROR(DATE(2027,1,1)&gt;=DATE(YEAR('Model inputs'!U11),MONTH('Model inputs'!U11),1)),DATE(2027,1,1)&gt;=DATE(YEAR('Model inputs'!U11),MONTH('Model inputs'!U11),1),IF(DATE(YEAR('Model inputs'!U11),MONTH('Model inputs'!U11),1)="","",DATE(2027,1,1)&gt;=DATE(YEAR('Model inputs'!U11),MONTH('Model inputs'!U11),1)))="",FALSE,IF(ISERROR(DATE(2027,1,1)&gt;=DATE(YEAR('Model inputs'!U11),MONTH('Model inputs'!U11),1)),DATE(2027,1,1)&gt;=DATE(YEAR('Model inputs'!U11),MONTH('Model inputs'!U11),1),IF(DATE(YEAR('Model inputs'!U11),MONTH('Model inputs'!U11),1)="","",DATE(2027,1,1)&gt;=DATE(YEAR('Model inputs'!U11),MONTH('Model inputs'!U11),1)))),IF('Model inputs'!U24="","",'Model inputs'!U24),0)</f>
        <v>0</v>
      </c>
      <c r="G16" s="9">
        <f>IF(IF(IF(ISERROR(DATE(2027,2,1)&gt;=DATE(YEAR('Model inputs'!U11),MONTH('Model inputs'!U11),1)),DATE(2027,2,1)&gt;=DATE(YEAR('Model inputs'!U11),MONTH('Model inputs'!U11),1),IF(DATE(YEAR('Model inputs'!U11),MONTH('Model inputs'!U11),1)="","",DATE(2027,2,1)&gt;=DATE(YEAR('Model inputs'!U11),MONTH('Model inputs'!U11),1)))="",FALSE,IF(ISERROR(DATE(2027,2,1)&gt;=DATE(YEAR('Model inputs'!U11),MONTH('Model inputs'!U11),1)),DATE(2027,2,1)&gt;=DATE(YEAR('Model inputs'!U11),MONTH('Model inputs'!U11),1),IF(DATE(YEAR('Model inputs'!U11),MONTH('Model inputs'!U11),1)="","",DATE(2027,2,1)&gt;=DATE(YEAR('Model inputs'!U11),MONTH('Model inputs'!U11),1)))),IF('Model inputs'!U24="","",'Model inputs'!U24),0)</f>
        <v>0</v>
      </c>
      <c r="H16" s="9">
        <f>IF(IF(IF(ISERROR(DATE(2027,3,1)&gt;=DATE(YEAR('Model inputs'!U11),MONTH('Model inputs'!U11),1)),DATE(2027,3,1)&gt;=DATE(YEAR('Model inputs'!U11),MONTH('Model inputs'!U11),1),IF(DATE(YEAR('Model inputs'!U11),MONTH('Model inputs'!U11),1)="","",DATE(2027,3,1)&gt;=DATE(YEAR('Model inputs'!U11),MONTH('Model inputs'!U11),1)))="",FALSE,IF(ISERROR(DATE(2027,3,1)&gt;=DATE(YEAR('Model inputs'!U11),MONTH('Model inputs'!U11),1)),DATE(2027,3,1)&gt;=DATE(YEAR('Model inputs'!U11),MONTH('Model inputs'!U11),1),IF(DATE(YEAR('Model inputs'!U11),MONTH('Model inputs'!U11),1)="","",DATE(2027,3,1)&gt;=DATE(YEAR('Model inputs'!U11),MONTH('Model inputs'!U11),1)))),IF('Model inputs'!U24="","",'Model inputs'!U24),0)</f>
        <v>0</v>
      </c>
      <c r="I16" s="9">
        <f>IF(IF(IF(ISERROR(DATE(2027,4,1)&gt;=DATE(YEAR('Model inputs'!U11),MONTH('Model inputs'!U11),1)),DATE(2027,4,1)&gt;=DATE(YEAR('Model inputs'!U11),MONTH('Model inputs'!U11),1),IF(DATE(YEAR('Model inputs'!U11),MONTH('Model inputs'!U11),1)="","",DATE(2027,4,1)&gt;=DATE(YEAR('Model inputs'!U11),MONTH('Model inputs'!U11),1)))="",FALSE,IF(ISERROR(DATE(2027,4,1)&gt;=DATE(YEAR('Model inputs'!U11),MONTH('Model inputs'!U11),1)),DATE(2027,4,1)&gt;=DATE(YEAR('Model inputs'!U11),MONTH('Model inputs'!U11),1),IF(DATE(YEAR('Model inputs'!U11),MONTH('Model inputs'!U11),1)="","",DATE(2027,4,1)&gt;=DATE(YEAR('Model inputs'!U11),MONTH('Model inputs'!U11),1)))),IF('Model inputs'!U24="","",'Model inputs'!U24),0)</f>
        <v>2000</v>
      </c>
      <c r="J16" s="9">
        <f>IF(IF(IF(ISERROR(DATE(2027,5,1)&gt;=DATE(YEAR('Model inputs'!U11),MONTH('Model inputs'!U11),1)),DATE(2027,5,1)&gt;=DATE(YEAR('Model inputs'!U11),MONTH('Model inputs'!U11),1),IF(DATE(YEAR('Model inputs'!U11),MONTH('Model inputs'!U11),1)="","",DATE(2027,5,1)&gt;=DATE(YEAR('Model inputs'!U11),MONTH('Model inputs'!U11),1)))="",FALSE,IF(ISERROR(DATE(2027,5,1)&gt;=DATE(YEAR('Model inputs'!U11),MONTH('Model inputs'!U11),1)),DATE(2027,5,1)&gt;=DATE(YEAR('Model inputs'!U11),MONTH('Model inputs'!U11),1),IF(DATE(YEAR('Model inputs'!U11),MONTH('Model inputs'!U11),1)="","",DATE(2027,5,1)&gt;=DATE(YEAR('Model inputs'!U11),MONTH('Model inputs'!U11),1)))),IF('Model inputs'!U24="","",'Model inputs'!U24),0)</f>
        <v>2000</v>
      </c>
      <c r="K16" s="9">
        <f>IF(IF(IF(ISERROR(DATE(2027,6,1)&gt;=DATE(YEAR('Model inputs'!U11),MONTH('Model inputs'!U11),1)),DATE(2027,6,1)&gt;=DATE(YEAR('Model inputs'!U11),MONTH('Model inputs'!U11),1),IF(DATE(YEAR('Model inputs'!U11),MONTH('Model inputs'!U11),1)="","",DATE(2027,6,1)&gt;=DATE(YEAR('Model inputs'!U11),MONTH('Model inputs'!U11),1)))="",FALSE,IF(ISERROR(DATE(2027,6,1)&gt;=DATE(YEAR('Model inputs'!U11),MONTH('Model inputs'!U11),1)),DATE(2027,6,1)&gt;=DATE(YEAR('Model inputs'!U11),MONTH('Model inputs'!U11),1),IF(DATE(YEAR('Model inputs'!U11),MONTH('Model inputs'!U11),1)="","",DATE(2027,6,1)&gt;=DATE(YEAR('Model inputs'!U11),MONTH('Model inputs'!U11),1)))),IF('Model inputs'!U24="","",'Model inputs'!U24),0)</f>
        <v>2000</v>
      </c>
      <c r="L16" s="9">
        <f>IF(IF(IF(ISERROR(DATE(2027,7,1)&gt;=DATE(YEAR('Model inputs'!U11),MONTH('Model inputs'!U11),1)),DATE(2027,7,1)&gt;=DATE(YEAR('Model inputs'!U11),MONTH('Model inputs'!U11),1),IF(DATE(YEAR('Model inputs'!U11),MONTH('Model inputs'!U11),1)="","",DATE(2027,7,1)&gt;=DATE(YEAR('Model inputs'!U11),MONTH('Model inputs'!U11),1)))="",FALSE,IF(ISERROR(DATE(2027,7,1)&gt;=DATE(YEAR('Model inputs'!U11),MONTH('Model inputs'!U11),1)),DATE(2027,7,1)&gt;=DATE(YEAR('Model inputs'!U11),MONTH('Model inputs'!U11),1),IF(DATE(YEAR('Model inputs'!U11),MONTH('Model inputs'!U11),1)="","",DATE(2027,7,1)&gt;=DATE(YEAR('Model inputs'!U11),MONTH('Model inputs'!U11),1)))),IF('Model inputs'!U24="","",'Model inputs'!U24),0)</f>
        <v>2000</v>
      </c>
      <c r="M16" s="9">
        <f>IF(IF(IF(ISERROR(DATE(2027,8,1)&gt;=DATE(YEAR('Model inputs'!U11),MONTH('Model inputs'!U11),1)),DATE(2027,8,1)&gt;=DATE(YEAR('Model inputs'!U11),MONTH('Model inputs'!U11),1),IF(DATE(YEAR('Model inputs'!U11),MONTH('Model inputs'!U11),1)="","",DATE(2027,8,1)&gt;=DATE(YEAR('Model inputs'!U11),MONTH('Model inputs'!U11),1)))="",FALSE,IF(ISERROR(DATE(2027,8,1)&gt;=DATE(YEAR('Model inputs'!U11),MONTH('Model inputs'!U11),1)),DATE(2027,8,1)&gt;=DATE(YEAR('Model inputs'!U11),MONTH('Model inputs'!U11),1),IF(DATE(YEAR('Model inputs'!U11),MONTH('Model inputs'!U11),1)="","",DATE(2027,8,1)&gt;=DATE(YEAR('Model inputs'!U11),MONTH('Model inputs'!U11),1)))),IF('Model inputs'!U24="","",'Model inputs'!U24),0)</f>
        <v>2000</v>
      </c>
      <c r="N16" s="9">
        <f>IF(IF(IF(ISERROR(DATE(2027,9,1)&gt;=DATE(YEAR('Model inputs'!U11),MONTH('Model inputs'!U11),1)),DATE(2027,9,1)&gt;=DATE(YEAR('Model inputs'!U11),MONTH('Model inputs'!U11),1),IF(DATE(YEAR('Model inputs'!U11),MONTH('Model inputs'!U11),1)="","",DATE(2027,9,1)&gt;=DATE(YEAR('Model inputs'!U11),MONTH('Model inputs'!U11),1)))="",FALSE,IF(ISERROR(DATE(2027,9,1)&gt;=DATE(YEAR('Model inputs'!U11),MONTH('Model inputs'!U11),1)),DATE(2027,9,1)&gt;=DATE(YEAR('Model inputs'!U11),MONTH('Model inputs'!U11),1),IF(DATE(YEAR('Model inputs'!U11),MONTH('Model inputs'!U11),1)="","",DATE(2027,9,1)&gt;=DATE(YEAR('Model inputs'!U11),MONTH('Model inputs'!U11),1)))),IF('Model inputs'!U24="","",'Model inputs'!U24),0)</f>
        <v>2000</v>
      </c>
      <c r="O16" s="9">
        <f>IF(IF(IF(ISERROR(DATE(2027,10,1)&gt;=DATE(YEAR('Model inputs'!U11),MONTH('Model inputs'!U11),1)),DATE(2027,10,1)&gt;=DATE(YEAR('Model inputs'!U11),MONTH('Model inputs'!U11),1),IF(DATE(YEAR('Model inputs'!U11),MONTH('Model inputs'!U11),1)="","",DATE(2027,10,1)&gt;=DATE(YEAR('Model inputs'!U11),MONTH('Model inputs'!U11),1)))="",FALSE,IF(ISERROR(DATE(2027,10,1)&gt;=DATE(YEAR('Model inputs'!U11),MONTH('Model inputs'!U11),1)),DATE(2027,10,1)&gt;=DATE(YEAR('Model inputs'!U11),MONTH('Model inputs'!U11),1),IF(DATE(YEAR('Model inputs'!U11),MONTH('Model inputs'!U11),1)="","",DATE(2027,10,1)&gt;=DATE(YEAR('Model inputs'!U11),MONTH('Model inputs'!U11),1)))),IF('Model inputs'!U24="","",'Model inputs'!U24),0)</f>
        <v>2000</v>
      </c>
      <c r="P16" s="9">
        <f>IF(IF(IF(ISERROR(DATE(2027,11,1)&gt;=DATE(YEAR('Model inputs'!U11),MONTH('Model inputs'!U11),1)),DATE(2027,11,1)&gt;=DATE(YEAR('Model inputs'!U11),MONTH('Model inputs'!U11),1),IF(DATE(YEAR('Model inputs'!U11),MONTH('Model inputs'!U11),1)="","",DATE(2027,11,1)&gt;=DATE(YEAR('Model inputs'!U11),MONTH('Model inputs'!U11),1)))="",FALSE,IF(ISERROR(DATE(2027,11,1)&gt;=DATE(YEAR('Model inputs'!U11),MONTH('Model inputs'!U11),1)),DATE(2027,11,1)&gt;=DATE(YEAR('Model inputs'!U11),MONTH('Model inputs'!U11),1),IF(DATE(YEAR('Model inputs'!U11),MONTH('Model inputs'!U11),1)="","",DATE(2027,11,1)&gt;=DATE(YEAR('Model inputs'!U11),MONTH('Model inputs'!U11),1)))),IF('Model inputs'!U24="","",'Model inputs'!U24),0)</f>
        <v>2000</v>
      </c>
      <c r="Q16" s="9">
        <f>IF(IF(IF(ISERROR(DATE(2027,12,1)&gt;=DATE(YEAR('Model inputs'!U11),MONTH('Model inputs'!U11),1)),DATE(2027,12,1)&gt;=DATE(YEAR('Model inputs'!U11),MONTH('Model inputs'!U11),1),IF(DATE(YEAR('Model inputs'!U11),MONTH('Model inputs'!U11),1)="","",DATE(2027,12,1)&gt;=DATE(YEAR('Model inputs'!U11),MONTH('Model inputs'!U11),1)))="",FALSE,IF(ISERROR(DATE(2027,12,1)&gt;=DATE(YEAR('Model inputs'!U11),MONTH('Model inputs'!U11),1)),DATE(2027,12,1)&gt;=DATE(YEAR('Model inputs'!U11),MONTH('Model inputs'!U11),1),IF(DATE(YEAR('Model inputs'!U11),MONTH('Model inputs'!U11),1)="","",DATE(2027,12,1)&gt;=DATE(YEAR('Model inputs'!U11),MONTH('Model inputs'!U11),1)))),IF('Model inputs'!U24="","",'Model inputs'!U24),0)</f>
        <v>2000</v>
      </c>
      <c r="R16" s="9">
        <f>IF(IF(IF(ISERROR(DATE(2028,1,1)&gt;=DATE(YEAR('Model inputs'!U11),MONTH('Model inputs'!U11),1)),DATE(2028,1,1)&gt;=DATE(YEAR('Model inputs'!U11),MONTH('Model inputs'!U11),1),IF(DATE(YEAR('Model inputs'!U11),MONTH('Model inputs'!U11),1)="","",DATE(2028,1,1)&gt;=DATE(YEAR('Model inputs'!U11),MONTH('Model inputs'!U11),1)))="",FALSE,IF(ISERROR(DATE(2028,1,1)&gt;=DATE(YEAR('Model inputs'!U11),MONTH('Model inputs'!U11),1)),DATE(2028,1,1)&gt;=DATE(YEAR('Model inputs'!U11),MONTH('Model inputs'!U11),1),IF(DATE(YEAR('Model inputs'!U11),MONTH('Model inputs'!U11),1)="","",DATE(2028,1,1)&gt;=DATE(YEAR('Model inputs'!U11),MONTH('Model inputs'!U11),1)))),IF('Model inputs'!U24="","",'Model inputs'!U24),0)</f>
        <v>2000</v>
      </c>
      <c r="S16" s="9">
        <f>IF(IF(IF(ISERROR(DATE(2028,2,1)&gt;=DATE(YEAR('Model inputs'!U11),MONTH('Model inputs'!U11),1)),DATE(2028,2,1)&gt;=DATE(YEAR('Model inputs'!U11),MONTH('Model inputs'!U11),1),IF(DATE(YEAR('Model inputs'!U11),MONTH('Model inputs'!U11),1)="","",DATE(2028,2,1)&gt;=DATE(YEAR('Model inputs'!U11),MONTH('Model inputs'!U11),1)))="",FALSE,IF(ISERROR(DATE(2028,2,1)&gt;=DATE(YEAR('Model inputs'!U11),MONTH('Model inputs'!U11),1)),DATE(2028,2,1)&gt;=DATE(YEAR('Model inputs'!U11),MONTH('Model inputs'!U11),1),IF(DATE(YEAR('Model inputs'!U11),MONTH('Model inputs'!U11),1)="","",DATE(2028,2,1)&gt;=DATE(YEAR('Model inputs'!U11),MONTH('Model inputs'!U11),1)))),IF('Model inputs'!U24="","",'Model inputs'!U24),0)</f>
        <v>2000</v>
      </c>
      <c r="T16" s="9">
        <f>IF(IF(IF(ISERROR(DATE(2028,3,1)&gt;=DATE(YEAR('Model inputs'!U11),MONTH('Model inputs'!U11),1)),DATE(2028,3,1)&gt;=DATE(YEAR('Model inputs'!U11),MONTH('Model inputs'!U11),1),IF(DATE(YEAR('Model inputs'!U11),MONTH('Model inputs'!U11),1)="","",DATE(2028,3,1)&gt;=DATE(YEAR('Model inputs'!U11),MONTH('Model inputs'!U11),1)))="",FALSE,IF(ISERROR(DATE(2028,3,1)&gt;=DATE(YEAR('Model inputs'!U11),MONTH('Model inputs'!U11),1)),DATE(2028,3,1)&gt;=DATE(YEAR('Model inputs'!U11),MONTH('Model inputs'!U11),1),IF(DATE(YEAR('Model inputs'!U11),MONTH('Model inputs'!U11),1)="","",DATE(2028,3,1)&gt;=DATE(YEAR('Model inputs'!U11),MONTH('Model inputs'!U11),1)))),IF('Model inputs'!U24="","",'Model inputs'!U24),0)</f>
        <v>2000</v>
      </c>
    </row>
    <row r="17" outlineLevel="1">
      <c r="A17" t="inlineStr" s="17">
        <is>
          <t xml:space="preserve">Founder payroll &gt; Placeholder founder 3</t>
        </is>
      </c>
      <c r="B17" s="9">
        <f>0</f>
        <v>0</v>
      </c>
      <c r="C17" s="9">
        <f>IF(IF(IF(ISERROR(DATE(2026,10,1)&gt;=DATE(YEAR('Model inputs'!U12),MONTH('Model inputs'!U12),1)),DATE(2026,10,1)&gt;=DATE(YEAR('Model inputs'!U12),MONTH('Model inputs'!U12),1),IF(DATE(YEAR('Model inputs'!U12),MONTH('Model inputs'!U12),1)="","",DATE(2026,10,1)&gt;=DATE(YEAR('Model inputs'!U12),MONTH('Model inputs'!U12),1)))="",FALSE,IF(ISERROR(DATE(2026,10,1)&gt;=DATE(YEAR('Model inputs'!U12),MONTH('Model inputs'!U12),1)),DATE(2026,10,1)&gt;=DATE(YEAR('Model inputs'!U12),MONTH('Model inputs'!U12),1),IF(DATE(YEAR('Model inputs'!U12),MONTH('Model inputs'!U12),1)="","",DATE(2026,10,1)&gt;=DATE(YEAR('Model inputs'!U12),MONTH('Model inputs'!U12),1)))),IF('Model inputs'!U25="","",'Model inputs'!U25),0)</f>
        <v>0</v>
      </c>
      <c r="D17" s="9">
        <f>IF(IF(IF(ISERROR(DATE(2026,11,1)&gt;=DATE(YEAR('Model inputs'!U12),MONTH('Model inputs'!U12),1)),DATE(2026,11,1)&gt;=DATE(YEAR('Model inputs'!U12),MONTH('Model inputs'!U12),1),IF(DATE(YEAR('Model inputs'!U12),MONTH('Model inputs'!U12),1)="","",DATE(2026,11,1)&gt;=DATE(YEAR('Model inputs'!U12),MONTH('Model inputs'!U12),1)))="",FALSE,IF(ISERROR(DATE(2026,11,1)&gt;=DATE(YEAR('Model inputs'!U12),MONTH('Model inputs'!U12),1)),DATE(2026,11,1)&gt;=DATE(YEAR('Model inputs'!U12),MONTH('Model inputs'!U12),1),IF(DATE(YEAR('Model inputs'!U12),MONTH('Model inputs'!U12),1)="","",DATE(2026,11,1)&gt;=DATE(YEAR('Model inputs'!U12),MONTH('Model inputs'!U12),1)))),IF('Model inputs'!U25="","",'Model inputs'!U25),0)</f>
        <v>0</v>
      </c>
      <c r="E17" s="9">
        <f>IF(IF(IF(ISERROR(DATE(2026,12,1)&gt;=DATE(YEAR('Model inputs'!U12),MONTH('Model inputs'!U12),1)),DATE(2026,12,1)&gt;=DATE(YEAR('Model inputs'!U12),MONTH('Model inputs'!U12),1),IF(DATE(YEAR('Model inputs'!U12),MONTH('Model inputs'!U12),1)="","",DATE(2026,12,1)&gt;=DATE(YEAR('Model inputs'!U12),MONTH('Model inputs'!U12),1)))="",FALSE,IF(ISERROR(DATE(2026,12,1)&gt;=DATE(YEAR('Model inputs'!U12),MONTH('Model inputs'!U12),1)),DATE(2026,12,1)&gt;=DATE(YEAR('Model inputs'!U12),MONTH('Model inputs'!U12),1),IF(DATE(YEAR('Model inputs'!U12),MONTH('Model inputs'!U12),1)="","",DATE(2026,12,1)&gt;=DATE(YEAR('Model inputs'!U12),MONTH('Model inputs'!U12),1)))),IF('Model inputs'!U25="","",'Model inputs'!U25),0)</f>
        <v>0</v>
      </c>
      <c r="F17" s="9">
        <f>IF(IF(IF(ISERROR(DATE(2027,1,1)&gt;=DATE(YEAR('Model inputs'!U12),MONTH('Model inputs'!U12),1)),DATE(2027,1,1)&gt;=DATE(YEAR('Model inputs'!U12),MONTH('Model inputs'!U12),1),IF(DATE(YEAR('Model inputs'!U12),MONTH('Model inputs'!U12),1)="","",DATE(2027,1,1)&gt;=DATE(YEAR('Model inputs'!U12),MONTH('Model inputs'!U12),1)))="",FALSE,IF(ISERROR(DATE(2027,1,1)&gt;=DATE(YEAR('Model inputs'!U12),MONTH('Model inputs'!U12),1)),DATE(2027,1,1)&gt;=DATE(YEAR('Model inputs'!U12),MONTH('Model inputs'!U12),1),IF(DATE(YEAR('Model inputs'!U12),MONTH('Model inputs'!U12),1)="","",DATE(2027,1,1)&gt;=DATE(YEAR('Model inputs'!U12),MONTH('Model inputs'!U12),1)))),IF('Model inputs'!U25="","",'Model inputs'!U25),0)</f>
        <v>0</v>
      </c>
      <c r="G17" s="9">
        <f>IF(IF(IF(ISERROR(DATE(2027,2,1)&gt;=DATE(YEAR('Model inputs'!U12),MONTH('Model inputs'!U12),1)),DATE(2027,2,1)&gt;=DATE(YEAR('Model inputs'!U12),MONTH('Model inputs'!U12),1),IF(DATE(YEAR('Model inputs'!U12),MONTH('Model inputs'!U12),1)="","",DATE(2027,2,1)&gt;=DATE(YEAR('Model inputs'!U12),MONTH('Model inputs'!U12),1)))="",FALSE,IF(ISERROR(DATE(2027,2,1)&gt;=DATE(YEAR('Model inputs'!U12),MONTH('Model inputs'!U12),1)),DATE(2027,2,1)&gt;=DATE(YEAR('Model inputs'!U12),MONTH('Model inputs'!U12),1),IF(DATE(YEAR('Model inputs'!U12),MONTH('Model inputs'!U12),1)="","",DATE(2027,2,1)&gt;=DATE(YEAR('Model inputs'!U12),MONTH('Model inputs'!U12),1)))),IF('Model inputs'!U25="","",'Model inputs'!U25),0)</f>
        <v>0</v>
      </c>
      <c r="H17" s="9">
        <f>IF(IF(IF(ISERROR(DATE(2027,3,1)&gt;=DATE(YEAR('Model inputs'!U12),MONTH('Model inputs'!U12),1)),DATE(2027,3,1)&gt;=DATE(YEAR('Model inputs'!U12),MONTH('Model inputs'!U12),1),IF(DATE(YEAR('Model inputs'!U12),MONTH('Model inputs'!U12),1)="","",DATE(2027,3,1)&gt;=DATE(YEAR('Model inputs'!U12),MONTH('Model inputs'!U12),1)))="",FALSE,IF(ISERROR(DATE(2027,3,1)&gt;=DATE(YEAR('Model inputs'!U12),MONTH('Model inputs'!U12),1)),DATE(2027,3,1)&gt;=DATE(YEAR('Model inputs'!U12),MONTH('Model inputs'!U12),1),IF(DATE(YEAR('Model inputs'!U12),MONTH('Model inputs'!U12),1)="","",DATE(2027,3,1)&gt;=DATE(YEAR('Model inputs'!U12),MONTH('Model inputs'!U12),1)))),IF('Model inputs'!U25="","",'Model inputs'!U25),0)</f>
        <v>0</v>
      </c>
      <c r="I17" s="9">
        <f>IF(IF(IF(ISERROR(DATE(2027,4,1)&gt;=DATE(YEAR('Model inputs'!U12),MONTH('Model inputs'!U12),1)),DATE(2027,4,1)&gt;=DATE(YEAR('Model inputs'!U12),MONTH('Model inputs'!U12),1),IF(DATE(YEAR('Model inputs'!U12),MONTH('Model inputs'!U12),1)="","",DATE(2027,4,1)&gt;=DATE(YEAR('Model inputs'!U12),MONTH('Model inputs'!U12),1)))="",FALSE,IF(ISERROR(DATE(2027,4,1)&gt;=DATE(YEAR('Model inputs'!U12),MONTH('Model inputs'!U12),1)),DATE(2027,4,1)&gt;=DATE(YEAR('Model inputs'!U12),MONTH('Model inputs'!U12),1),IF(DATE(YEAR('Model inputs'!U12),MONTH('Model inputs'!U12),1)="","",DATE(2027,4,1)&gt;=DATE(YEAR('Model inputs'!U12),MONTH('Model inputs'!U12),1)))),IF('Model inputs'!U25="","",'Model inputs'!U25),0)</f>
        <v>2000</v>
      </c>
      <c r="J17" s="9">
        <f>IF(IF(IF(ISERROR(DATE(2027,5,1)&gt;=DATE(YEAR('Model inputs'!U12),MONTH('Model inputs'!U12),1)),DATE(2027,5,1)&gt;=DATE(YEAR('Model inputs'!U12),MONTH('Model inputs'!U12),1),IF(DATE(YEAR('Model inputs'!U12),MONTH('Model inputs'!U12),1)="","",DATE(2027,5,1)&gt;=DATE(YEAR('Model inputs'!U12),MONTH('Model inputs'!U12),1)))="",FALSE,IF(ISERROR(DATE(2027,5,1)&gt;=DATE(YEAR('Model inputs'!U12),MONTH('Model inputs'!U12),1)),DATE(2027,5,1)&gt;=DATE(YEAR('Model inputs'!U12),MONTH('Model inputs'!U12),1),IF(DATE(YEAR('Model inputs'!U12),MONTH('Model inputs'!U12),1)="","",DATE(2027,5,1)&gt;=DATE(YEAR('Model inputs'!U12),MONTH('Model inputs'!U12),1)))),IF('Model inputs'!U25="","",'Model inputs'!U25),0)</f>
        <v>2000</v>
      </c>
      <c r="K17" s="9">
        <f>IF(IF(IF(ISERROR(DATE(2027,6,1)&gt;=DATE(YEAR('Model inputs'!U12),MONTH('Model inputs'!U12),1)),DATE(2027,6,1)&gt;=DATE(YEAR('Model inputs'!U12),MONTH('Model inputs'!U12),1),IF(DATE(YEAR('Model inputs'!U12),MONTH('Model inputs'!U12),1)="","",DATE(2027,6,1)&gt;=DATE(YEAR('Model inputs'!U12),MONTH('Model inputs'!U12),1)))="",FALSE,IF(ISERROR(DATE(2027,6,1)&gt;=DATE(YEAR('Model inputs'!U12),MONTH('Model inputs'!U12),1)),DATE(2027,6,1)&gt;=DATE(YEAR('Model inputs'!U12),MONTH('Model inputs'!U12),1),IF(DATE(YEAR('Model inputs'!U12),MONTH('Model inputs'!U12),1)="","",DATE(2027,6,1)&gt;=DATE(YEAR('Model inputs'!U12),MONTH('Model inputs'!U12),1)))),IF('Model inputs'!U25="","",'Model inputs'!U25),0)</f>
        <v>2000</v>
      </c>
      <c r="L17" s="9">
        <f>IF(IF(IF(ISERROR(DATE(2027,7,1)&gt;=DATE(YEAR('Model inputs'!U12),MONTH('Model inputs'!U12),1)),DATE(2027,7,1)&gt;=DATE(YEAR('Model inputs'!U12),MONTH('Model inputs'!U12),1),IF(DATE(YEAR('Model inputs'!U12),MONTH('Model inputs'!U12),1)="","",DATE(2027,7,1)&gt;=DATE(YEAR('Model inputs'!U12),MONTH('Model inputs'!U12),1)))="",FALSE,IF(ISERROR(DATE(2027,7,1)&gt;=DATE(YEAR('Model inputs'!U12),MONTH('Model inputs'!U12),1)),DATE(2027,7,1)&gt;=DATE(YEAR('Model inputs'!U12),MONTH('Model inputs'!U12),1),IF(DATE(YEAR('Model inputs'!U12),MONTH('Model inputs'!U12),1)="","",DATE(2027,7,1)&gt;=DATE(YEAR('Model inputs'!U12),MONTH('Model inputs'!U12),1)))),IF('Model inputs'!U25="","",'Model inputs'!U25),0)</f>
        <v>2000</v>
      </c>
      <c r="M17" s="9">
        <f>IF(IF(IF(ISERROR(DATE(2027,8,1)&gt;=DATE(YEAR('Model inputs'!U12),MONTH('Model inputs'!U12),1)),DATE(2027,8,1)&gt;=DATE(YEAR('Model inputs'!U12),MONTH('Model inputs'!U12),1),IF(DATE(YEAR('Model inputs'!U12),MONTH('Model inputs'!U12),1)="","",DATE(2027,8,1)&gt;=DATE(YEAR('Model inputs'!U12),MONTH('Model inputs'!U12),1)))="",FALSE,IF(ISERROR(DATE(2027,8,1)&gt;=DATE(YEAR('Model inputs'!U12),MONTH('Model inputs'!U12),1)),DATE(2027,8,1)&gt;=DATE(YEAR('Model inputs'!U12),MONTH('Model inputs'!U12),1),IF(DATE(YEAR('Model inputs'!U12),MONTH('Model inputs'!U12),1)="","",DATE(2027,8,1)&gt;=DATE(YEAR('Model inputs'!U12),MONTH('Model inputs'!U12),1)))),IF('Model inputs'!U25="","",'Model inputs'!U25),0)</f>
        <v>2000</v>
      </c>
      <c r="N17" s="9">
        <f>IF(IF(IF(ISERROR(DATE(2027,9,1)&gt;=DATE(YEAR('Model inputs'!U12),MONTH('Model inputs'!U12),1)),DATE(2027,9,1)&gt;=DATE(YEAR('Model inputs'!U12),MONTH('Model inputs'!U12),1),IF(DATE(YEAR('Model inputs'!U12),MONTH('Model inputs'!U12),1)="","",DATE(2027,9,1)&gt;=DATE(YEAR('Model inputs'!U12),MONTH('Model inputs'!U12),1)))="",FALSE,IF(ISERROR(DATE(2027,9,1)&gt;=DATE(YEAR('Model inputs'!U12),MONTH('Model inputs'!U12),1)),DATE(2027,9,1)&gt;=DATE(YEAR('Model inputs'!U12),MONTH('Model inputs'!U12),1),IF(DATE(YEAR('Model inputs'!U12),MONTH('Model inputs'!U12),1)="","",DATE(2027,9,1)&gt;=DATE(YEAR('Model inputs'!U12),MONTH('Model inputs'!U12),1)))),IF('Model inputs'!U25="","",'Model inputs'!U25),0)</f>
        <v>2000</v>
      </c>
      <c r="O17" s="9">
        <f>IF(IF(IF(ISERROR(DATE(2027,10,1)&gt;=DATE(YEAR('Model inputs'!U12),MONTH('Model inputs'!U12),1)),DATE(2027,10,1)&gt;=DATE(YEAR('Model inputs'!U12),MONTH('Model inputs'!U12),1),IF(DATE(YEAR('Model inputs'!U12),MONTH('Model inputs'!U12),1)="","",DATE(2027,10,1)&gt;=DATE(YEAR('Model inputs'!U12),MONTH('Model inputs'!U12),1)))="",FALSE,IF(ISERROR(DATE(2027,10,1)&gt;=DATE(YEAR('Model inputs'!U12),MONTH('Model inputs'!U12),1)),DATE(2027,10,1)&gt;=DATE(YEAR('Model inputs'!U12),MONTH('Model inputs'!U12),1),IF(DATE(YEAR('Model inputs'!U12),MONTH('Model inputs'!U12),1)="","",DATE(2027,10,1)&gt;=DATE(YEAR('Model inputs'!U12),MONTH('Model inputs'!U12),1)))),IF('Model inputs'!U25="","",'Model inputs'!U25),0)</f>
        <v>2000</v>
      </c>
      <c r="P17" s="9">
        <f>IF(IF(IF(ISERROR(DATE(2027,11,1)&gt;=DATE(YEAR('Model inputs'!U12),MONTH('Model inputs'!U12),1)),DATE(2027,11,1)&gt;=DATE(YEAR('Model inputs'!U12),MONTH('Model inputs'!U12),1),IF(DATE(YEAR('Model inputs'!U12),MONTH('Model inputs'!U12),1)="","",DATE(2027,11,1)&gt;=DATE(YEAR('Model inputs'!U12),MONTH('Model inputs'!U12),1)))="",FALSE,IF(ISERROR(DATE(2027,11,1)&gt;=DATE(YEAR('Model inputs'!U12),MONTH('Model inputs'!U12),1)),DATE(2027,11,1)&gt;=DATE(YEAR('Model inputs'!U12),MONTH('Model inputs'!U12),1),IF(DATE(YEAR('Model inputs'!U12),MONTH('Model inputs'!U12),1)="","",DATE(2027,11,1)&gt;=DATE(YEAR('Model inputs'!U12),MONTH('Model inputs'!U12),1)))),IF('Model inputs'!U25="","",'Model inputs'!U25),0)</f>
        <v>2000</v>
      </c>
      <c r="Q17" s="9">
        <f>IF(IF(IF(ISERROR(DATE(2027,12,1)&gt;=DATE(YEAR('Model inputs'!U12),MONTH('Model inputs'!U12),1)),DATE(2027,12,1)&gt;=DATE(YEAR('Model inputs'!U12),MONTH('Model inputs'!U12),1),IF(DATE(YEAR('Model inputs'!U12),MONTH('Model inputs'!U12),1)="","",DATE(2027,12,1)&gt;=DATE(YEAR('Model inputs'!U12),MONTH('Model inputs'!U12),1)))="",FALSE,IF(ISERROR(DATE(2027,12,1)&gt;=DATE(YEAR('Model inputs'!U12),MONTH('Model inputs'!U12),1)),DATE(2027,12,1)&gt;=DATE(YEAR('Model inputs'!U12),MONTH('Model inputs'!U12),1),IF(DATE(YEAR('Model inputs'!U12),MONTH('Model inputs'!U12),1)="","",DATE(2027,12,1)&gt;=DATE(YEAR('Model inputs'!U12),MONTH('Model inputs'!U12),1)))),IF('Model inputs'!U25="","",'Model inputs'!U25),0)</f>
        <v>2000</v>
      </c>
      <c r="R17" s="9">
        <f>IF(IF(IF(ISERROR(DATE(2028,1,1)&gt;=DATE(YEAR('Model inputs'!U12),MONTH('Model inputs'!U12),1)),DATE(2028,1,1)&gt;=DATE(YEAR('Model inputs'!U12),MONTH('Model inputs'!U12),1),IF(DATE(YEAR('Model inputs'!U12),MONTH('Model inputs'!U12),1)="","",DATE(2028,1,1)&gt;=DATE(YEAR('Model inputs'!U12),MONTH('Model inputs'!U12),1)))="",FALSE,IF(ISERROR(DATE(2028,1,1)&gt;=DATE(YEAR('Model inputs'!U12),MONTH('Model inputs'!U12),1)),DATE(2028,1,1)&gt;=DATE(YEAR('Model inputs'!U12),MONTH('Model inputs'!U12),1),IF(DATE(YEAR('Model inputs'!U12),MONTH('Model inputs'!U12),1)="","",DATE(2028,1,1)&gt;=DATE(YEAR('Model inputs'!U12),MONTH('Model inputs'!U12),1)))),IF('Model inputs'!U25="","",'Model inputs'!U25),0)</f>
        <v>2000</v>
      </c>
      <c r="S17" s="9">
        <f>IF(IF(IF(ISERROR(DATE(2028,2,1)&gt;=DATE(YEAR('Model inputs'!U12),MONTH('Model inputs'!U12),1)),DATE(2028,2,1)&gt;=DATE(YEAR('Model inputs'!U12),MONTH('Model inputs'!U12),1),IF(DATE(YEAR('Model inputs'!U12),MONTH('Model inputs'!U12),1)="","",DATE(2028,2,1)&gt;=DATE(YEAR('Model inputs'!U12),MONTH('Model inputs'!U12),1)))="",FALSE,IF(ISERROR(DATE(2028,2,1)&gt;=DATE(YEAR('Model inputs'!U12),MONTH('Model inputs'!U12),1)),DATE(2028,2,1)&gt;=DATE(YEAR('Model inputs'!U12),MONTH('Model inputs'!U12),1),IF(DATE(YEAR('Model inputs'!U12),MONTH('Model inputs'!U12),1)="","",DATE(2028,2,1)&gt;=DATE(YEAR('Model inputs'!U12),MONTH('Model inputs'!U12),1)))),IF('Model inputs'!U25="","",'Model inputs'!U25),0)</f>
        <v>2000</v>
      </c>
      <c r="T17" s="9">
        <f>IF(IF(IF(ISERROR(DATE(2028,3,1)&gt;=DATE(YEAR('Model inputs'!U12),MONTH('Model inputs'!U12),1)),DATE(2028,3,1)&gt;=DATE(YEAR('Model inputs'!U12),MONTH('Model inputs'!U12),1),IF(DATE(YEAR('Model inputs'!U12),MONTH('Model inputs'!U12),1)="","",DATE(2028,3,1)&gt;=DATE(YEAR('Model inputs'!U12),MONTH('Model inputs'!U12),1)))="",FALSE,IF(ISERROR(DATE(2028,3,1)&gt;=DATE(YEAR('Model inputs'!U12),MONTH('Model inputs'!U12),1)),DATE(2028,3,1)&gt;=DATE(YEAR('Model inputs'!U12),MONTH('Model inputs'!U12),1),IF(DATE(YEAR('Model inputs'!U12),MONTH('Model inputs'!U12),1)="","",DATE(2028,3,1)&gt;=DATE(YEAR('Model inputs'!U12),MONTH('Model inputs'!U12),1)))),IF('Model inputs'!U25="","",'Model inputs'!U25),0)</f>
        <v>2000</v>
      </c>
    </row>
    <row r="18" outlineLevel="1">
      <c r="A18" t="inlineStr" s="17">
        <is>
          <t xml:space="preserve">Founder payroll &gt; Placeholder founder 4</t>
        </is>
      </c>
      <c r="B18" s="9">
        <f>0</f>
        <v>0</v>
      </c>
      <c r="C18" s="9">
        <f>IF(IF(IF(ISERROR(DATE(2026,10,1)&gt;=DATE(YEAR('Model inputs'!U13),MONTH('Model inputs'!U13),1)),DATE(2026,10,1)&gt;=DATE(YEAR('Model inputs'!U13),MONTH('Model inputs'!U13),1),IF(DATE(YEAR('Model inputs'!U13),MONTH('Model inputs'!U13),1)="","",DATE(2026,10,1)&gt;=DATE(YEAR('Model inputs'!U13),MONTH('Model inputs'!U13),1)))="",FALSE,IF(ISERROR(DATE(2026,10,1)&gt;=DATE(YEAR('Model inputs'!U13),MONTH('Model inputs'!U13),1)),DATE(2026,10,1)&gt;=DATE(YEAR('Model inputs'!U13),MONTH('Model inputs'!U13),1),IF(DATE(YEAR('Model inputs'!U13),MONTH('Model inputs'!U13),1)="","",DATE(2026,10,1)&gt;=DATE(YEAR('Model inputs'!U13),MONTH('Model inputs'!U13),1)))),IF('Model inputs'!U26="","",'Model inputs'!U26),0)</f>
        <v>0</v>
      </c>
      <c r="D18" s="9">
        <f>IF(IF(IF(ISERROR(DATE(2026,11,1)&gt;=DATE(YEAR('Model inputs'!U13),MONTH('Model inputs'!U13),1)),DATE(2026,11,1)&gt;=DATE(YEAR('Model inputs'!U13),MONTH('Model inputs'!U13),1),IF(DATE(YEAR('Model inputs'!U13),MONTH('Model inputs'!U13),1)="","",DATE(2026,11,1)&gt;=DATE(YEAR('Model inputs'!U13),MONTH('Model inputs'!U13),1)))="",FALSE,IF(ISERROR(DATE(2026,11,1)&gt;=DATE(YEAR('Model inputs'!U13),MONTH('Model inputs'!U13),1)),DATE(2026,11,1)&gt;=DATE(YEAR('Model inputs'!U13),MONTH('Model inputs'!U13),1),IF(DATE(YEAR('Model inputs'!U13),MONTH('Model inputs'!U13),1)="","",DATE(2026,11,1)&gt;=DATE(YEAR('Model inputs'!U13),MONTH('Model inputs'!U13),1)))),IF('Model inputs'!U26="","",'Model inputs'!U26),0)</f>
        <v>0</v>
      </c>
      <c r="E18" s="9">
        <f>IF(IF(IF(ISERROR(DATE(2026,12,1)&gt;=DATE(YEAR('Model inputs'!U13),MONTH('Model inputs'!U13),1)),DATE(2026,12,1)&gt;=DATE(YEAR('Model inputs'!U13),MONTH('Model inputs'!U13),1),IF(DATE(YEAR('Model inputs'!U13),MONTH('Model inputs'!U13),1)="","",DATE(2026,12,1)&gt;=DATE(YEAR('Model inputs'!U13),MONTH('Model inputs'!U13),1)))="",FALSE,IF(ISERROR(DATE(2026,12,1)&gt;=DATE(YEAR('Model inputs'!U13),MONTH('Model inputs'!U13),1)),DATE(2026,12,1)&gt;=DATE(YEAR('Model inputs'!U13),MONTH('Model inputs'!U13),1),IF(DATE(YEAR('Model inputs'!U13),MONTH('Model inputs'!U13),1)="","",DATE(2026,12,1)&gt;=DATE(YEAR('Model inputs'!U13),MONTH('Model inputs'!U13),1)))),IF('Model inputs'!U26="","",'Model inputs'!U26),0)</f>
        <v>0</v>
      </c>
      <c r="F18" s="9">
        <f>IF(IF(IF(ISERROR(DATE(2027,1,1)&gt;=DATE(YEAR('Model inputs'!U13),MONTH('Model inputs'!U13),1)),DATE(2027,1,1)&gt;=DATE(YEAR('Model inputs'!U13),MONTH('Model inputs'!U13),1),IF(DATE(YEAR('Model inputs'!U13),MONTH('Model inputs'!U13),1)="","",DATE(2027,1,1)&gt;=DATE(YEAR('Model inputs'!U13),MONTH('Model inputs'!U13),1)))="",FALSE,IF(ISERROR(DATE(2027,1,1)&gt;=DATE(YEAR('Model inputs'!U13),MONTH('Model inputs'!U13),1)),DATE(2027,1,1)&gt;=DATE(YEAR('Model inputs'!U13),MONTH('Model inputs'!U13),1),IF(DATE(YEAR('Model inputs'!U13),MONTH('Model inputs'!U13),1)="","",DATE(2027,1,1)&gt;=DATE(YEAR('Model inputs'!U13),MONTH('Model inputs'!U13),1)))),IF('Model inputs'!U26="","",'Model inputs'!U26),0)</f>
        <v>0</v>
      </c>
      <c r="G18" s="9">
        <f>IF(IF(IF(ISERROR(DATE(2027,2,1)&gt;=DATE(YEAR('Model inputs'!U13),MONTH('Model inputs'!U13),1)),DATE(2027,2,1)&gt;=DATE(YEAR('Model inputs'!U13),MONTH('Model inputs'!U13),1),IF(DATE(YEAR('Model inputs'!U13),MONTH('Model inputs'!U13),1)="","",DATE(2027,2,1)&gt;=DATE(YEAR('Model inputs'!U13),MONTH('Model inputs'!U13),1)))="",FALSE,IF(ISERROR(DATE(2027,2,1)&gt;=DATE(YEAR('Model inputs'!U13),MONTH('Model inputs'!U13),1)),DATE(2027,2,1)&gt;=DATE(YEAR('Model inputs'!U13),MONTH('Model inputs'!U13),1),IF(DATE(YEAR('Model inputs'!U13),MONTH('Model inputs'!U13),1)="","",DATE(2027,2,1)&gt;=DATE(YEAR('Model inputs'!U13),MONTH('Model inputs'!U13),1)))),IF('Model inputs'!U26="","",'Model inputs'!U26),0)</f>
        <v>0</v>
      </c>
      <c r="H18" s="9">
        <f>IF(IF(IF(ISERROR(DATE(2027,3,1)&gt;=DATE(YEAR('Model inputs'!U13),MONTH('Model inputs'!U13),1)),DATE(2027,3,1)&gt;=DATE(YEAR('Model inputs'!U13),MONTH('Model inputs'!U13),1),IF(DATE(YEAR('Model inputs'!U13),MONTH('Model inputs'!U13),1)="","",DATE(2027,3,1)&gt;=DATE(YEAR('Model inputs'!U13),MONTH('Model inputs'!U13),1)))="",FALSE,IF(ISERROR(DATE(2027,3,1)&gt;=DATE(YEAR('Model inputs'!U13),MONTH('Model inputs'!U13),1)),DATE(2027,3,1)&gt;=DATE(YEAR('Model inputs'!U13),MONTH('Model inputs'!U13),1),IF(DATE(YEAR('Model inputs'!U13),MONTH('Model inputs'!U13),1)="","",DATE(2027,3,1)&gt;=DATE(YEAR('Model inputs'!U13),MONTH('Model inputs'!U13),1)))),IF('Model inputs'!U26="","",'Model inputs'!U26),0)</f>
        <v>0</v>
      </c>
      <c r="I18" s="9">
        <f>IF(IF(IF(ISERROR(DATE(2027,4,1)&gt;=DATE(YEAR('Model inputs'!U13),MONTH('Model inputs'!U13),1)),DATE(2027,4,1)&gt;=DATE(YEAR('Model inputs'!U13),MONTH('Model inputs'!U13),1),IF(DATE(YEAR('Model inputs'!U13),MONTH('Model inputs'!U13),1)="","",DATE(2027,4,1)&gt;=DATE(YEAR('Model inputs'!U13),MONTH('Model inputs'!U13),1)))="",FALSE,IF(ISERROR(DATE(2027,4,1)&gt;=DATE(YEAR('Model inputs'!U13),MONTH('Model inputs'!U13),1)),DATE(2027,4,1)&gt;=DATE(YEAR('Model inputs'!U13),MONTH('Model inputs'!U13),1),IF(DATE(YEAR('Model inputs'!U13),MONTH('Model inputs'!U13),1)="","",DATE(2027,4,1)&gt;=DATE(YEAR('Model inputs'!U13),MONTH('Model inputs'!U13),1)))),IF('Model inputs'!U26="","",'Model inputs'!U26),0)</f>
        <v>2000</v>
      </c>
      <c r="J18" s="9">
        <f>IF(IF(IF(ISERROR(DATE(2027,5,1)&gt;=DATE(YEAR('Model inputs'!U13),MONTH('Model inputs'!U13),1)),DATE(2027,5,1)&gt;=DATE(YEAR('Model inputs'!U13),MONTH('Model inputs'!U13),1),IF(DATE(YEAR('Model inputs'!U13),MONTH('Model inputs'!U13),1)="","",DATE(2027,5,1)&gt;=DATE(YEAR('Model inputs'!U13),MONTH('Model inputs'!U13),1)))="",FALSE,IF(ISERROR(DATE(2027,5,1)&gt;=DATE(YEAR('Model inputs'!U13),MONTH('Model inputs'!U13),1)),DATE(2027,5,1)&gt;=DATE(YEAR('Model inputs'!U13),MONTH('Model inputs'!U13),1),IF(DATE(YEAR('Model inputs'!U13),MONTH('Model inputs'!U13),1)="","",DATE(2027,5,1)&gt;=DATE(YEAR('Model inputs'!U13),MONTH('Model inputs'!U13),1)))),IF('Model inputs'!U26="","",'Model inputs'!U26),0)</f>
        <v>2000</v>
      </c>
      <c r="K18" s="9">
        <f>IF(IF(IF(ISERROR(DATE(2027,6,1)&gt;=DATE(YEAR('Model inputs'!U13),MONTH('Model inputs'!U13),1)),DATE(2027,6,1)&gt;=DATE(YEAR('Model inputs'!U13),MONTH('Model inputs'!U13),1),IF(DATE(YEAR('Model inputs'!U13),MONTH('Model inputs'!U13),1)="","",DATE(2027,6,1)&gt;=DATE(YEAR('Model inputs'!U13),MONTH('Model inputs'!U13),1)))="",FALSE,IF(ISERROR(DATE(2027,6,1)&gt;=DATE(YEAR('Model inputs'!U13),MONTH('Model inputs'!U13),1)),DATE(2027,6,1)&gt;=DATE(YEAR('Model inputs'!U13),MONTH('Model inputs'!U13),1),IF(DATE(YEAR('Model inputs'!U13),MONTH('Model inputs'!U13),1)="","",DATE(2027,6,1)&gt;=DATE(YEAR('Model inputs'!U13),MONTH('Model inputs'!U13),1)))),IF('Model inputs'!U26="","",'Model inputs'!U26),0)</f>
        <v>2000</v>
      </c>
      <c r="L18" s="9">
        <f>IF(IF(IF(ISERROR(DATE(2027,7,1)&gt;=DATE(YEAR('Model inputs'!U13),MONTH('Model inputs'!U13),1)),DATE(2027,7,1)&gt;=DATE(YEAR('Model inputs'!U13),MONTH('Model inputs'!U13),1),IF(DATE(YEAR('Model inputs'!U13),MONTH('Model inputs'!U13),1)="","",DATE(2027,7,1)&gt;=DATE(YEAR('Model inputs'!U13),MONTH('Model inputs'!U13),1)))="",FALSE,IF(ISERROR(DATE(2027,7,1)&gt;=DATE(YEAR('Model inputs'!U13),MONTH('Model inputs'!U13),1)),DATE(2027,7,1)&gt;=DATE(YEAR('Model inputs'!U13),MONTH('Model inputs'!U13),1),IF(DATE(YEAR('Model inputs'!U13),MONTH('Model inputs'!U13),1)="","",DATE(2027,7,1)&gt;=DATE(YEAR('Model inputs'!U13),MONTH('Model inputs'!U13),1)))),IF('Model inputs'!U26="","",'Model inputs'!U26),0)</f>
        <v>2000</v>
      </c>
      <c r="M18" s="9">
        <f>IF(IF(IF(ISERROR(DATE(2027,8,1)&gt;=DATE(YEAR('Model inputs'!U13),MONTH('Model inputs'!U13),1)),DATE(2027,8,1)&gt;=DATE(YEAR('Model inputs'!U13),MONTH('Model inputs'!U13),1),IF(DATE(YEAR('Model inputs'!U13),MONTH('Model inputs'!U13),1)="","",DATE(2027,8,1)&gt;=DATE(YEAR('Model inputs'!U13),MONTH('Model inputs'!U13),1)))="",FALSE,IF(ISERROR(DATE(2027,8,1)&gt;=DATE(YEAR('Model inputs'!U13),MONTH('Model inputs'!U13),1)),DATE(2027,8,1)&gt;=DATE(YEAR('Model inputs'!U13),MONTH('Model inputs'!U13),1),IF(DATE(YEAR('Model inputs'!U13),MONTH('Model inputs'!U13),1)="","",DATE(2027,8,1)&gt;=DATE(YEAR('Model inputs'!U13),MONTH('Model inputs'!U13),1)))),IF('Model inputs'!U26="","",'Model inputs'!U26),0)</f>
        <v>2000</v>
      </c>
      <c r="N18" s="9">
        <f>IF(IF(IF(ISERROR(DATE(2027,9,1)&gt;=DATE(YEAR('Model inputs'!U13),MONTH('Model inputs'!U13),1)),DATE(2027,9,1)&gt;=DATE(YEAR('Model inputs'!U13),MONTH('Model inputs'!U13),1),IF(DATE(YEAR('Model inputs'!U13),MONTH('Model inputs'!U13),1)="","",DATE(2027,9,1)&gt;=DATE(YEAR('Model inputs'!U13),MONTH('Model inputs'!U13),1)))="",FALSE,IF(ISERROR(DATE(2027,9,1)&gt;=DATE(YEAR('Model inputs'!U13),MONTH('Model inputs'!U13),1)),DATE(2027,9,1)&gt;=DATE(YEAR('Model inputs'!U13),MONTH('Model inputs'!U13),1),IF(DATE(YEAR('Model inputs'!U13),MONTH('Model inputs'!U13),1)="","",DATE(2027,9,1)&gt;=DATE(YEAR('Model inputs'!U13),MONTH('Model inputs'!U13),1)))),IF('Model inputs'!U26="","",'Model inputs'!U26),0)</f>
        <v>2000</v>
      </c>
      <c r="O18" s="9">
        <f>IF(IF(IF(ISERROR(DATE(2027,10,1)&gt;=DATE(YEAR('Model inputs'!U13),MONTH('Model inputs'!U13),1)),DATE(2027,10,1)&gt;=DATE(YEAR('Model inputs'!U13),MONTH('Model inputs'!U13),1),IF(DATE(YEAR('Model inputs'!U13),MONTH('Model inputs'!U13),1)="","",DATE(2027,10,1)&gt;=DATE(YEAR('Model inputs'!U13),MONTH('Model inputs'!U13),1)))="",FALSE,IF(ISERROR(DATE(2027,10,1)&gt;=DATE(YEAR('Model inputs'!U13),MONTH('Model inputs'!U13),1)),DATE(2027,10,1)&gt;=DATE(YEAR('Model inputs'!U13),MONTH('Model inputs'!U13),1),IF(DATE(YEAR('Model inputs'!U13),MONTH('Model inputs'!U13),1)="","",DATE(2027,10,1)&gt;=DATE(YEAR('Model inputs'!U13),MONTH('Model inputs'!U13),1)))),IF('Model inputs'!U26="","",'Model inputs'!U26),0)</f>
        <v>2000</v>
      </c>
      <c r="P18" s="9">
        <f>IF(IF(IF(ISERROR(DATE(2027,11,1)&gt;=DATE(YEAR('Model inputs'!U13),MONTH('Model inputs'!U13),1)),DATE(2027,11,1)&gt;=DATE(YEAR('Model inputs'!U13),MONTH('Model inputs'!U13),1),IF(DATE(YEAR('Model inputs'!U13),MONTH('Model inputs'!U13),1)="","",DATE(2027,11,1)&gt;=DATE(YEAR('Model inputs'!U13),MONTH('Model inputs'!U13),1)))="",FALSE,IF(ISERROR(DATE(2027,11,1)&gt;=DATE(YEAR('Model inputs'!U13),MONTH('Model inputs'!U13),1)),DATE(2027,11,1)&gt;=DATE(YEAR('Model inputs'!U13),MONTH('Model inputs'!U13),1),IF(DATE(YEAR('Model inputs'!U13),MONTH('Model inputs'!U13),1)="","",DATE(2027,11,1)&gt;=DATE(YEAR('Model inputs'!U13),MONTH('Model inputs'!U13),1)))),IF('Model inputs'!U26="","",'Model inputs'!U26),0)</f>
        <v>2000</v>
      </c>
      <c r="Q18" s="9">
        <f>IF(IF(IF(ISERROR(DATE(2027,12,1)&gt;=DATE(YEAR('Model inputs'!U13),MONTH('Model inputs'!U13),1)),DATE(2027,12,1)&gt;=DATE(YEAR('Model inputs'!U13),MONTH('Model inputs'!U13),1),IF(DATE(YEAR('Model inputs'!U13),MONTH('Model inputs'!U13),1)="","",DATE(2027,12,1)&gt;=DATE(YEAR('Model inputs'!U13),MONTH('Model inputs'!U13),1)))="",FALSE,IF(ISERROR(DATE(2027,12,1)&gt;=DATE(YEAR('Model inputs'!U13),MONTH('Model inputs'!U13),1)),DATE(2027,12,1)&gt;=DATE(YEAR('Model inputs'!U13),MONTH('Model inputs'!U13),1),IF(DATE(YEAR('Model inputs'!U13),MONTH('Model inputs'!U13),1)="","",DATE(2027,12,1)&gt;=DATE(YEAR('Model inputs'!U13),MONTH('Model inputs'!U13),1)))),IF('Model inputs'!U26="","",'Model inputs'!U26),0)</f>
        <v>2000</v>
      </c>
      <c r="R18" s="9">
        <f>IF(IF(IF(ISERROR(DATE(2028,1,1)&gt;=DATE(YEAR('Model inputs'!U13),MONTH('Model inputs'!U13),1)),DATE(2028,1,1)&gt;=DATE(YEAR('Model inputs'!U13),MONTH('Model inputs'!U13),1),IF(DATE(YEAR('Model inputs'!U13),MONTH('Model inputs'!U13),1)="","",DATE(2028,1,1)&gt;=DATE(YEAR('Model inputs'!U13),MONTH('Model inputs'!U13),1)))="",FALSE,IF(ISERROR(DATE(2028,1,1)&gt;=DATE(YEAR('Model inputs'!U13),MONTH('Model inputs'!U13),1)),DATE(2028,1,1)&gt;=DATE(YEAR('Model inputs'!U13),MONTH('Model inputs'!U13),1),IF(DATE(YEAR('Model inputs'!U13),MONTH('Model inputs'!U13),1)="","",DATE(2028,1,1)&gt;=DATE(YEAR('Model inputs'!U13),MONTH('Model inputs'!U13),1)))),IF('Model inputs'!U26="","",'Model inputs'!U26),0)</f>
        <v>2000</v>
      </c>
      <c r="S18" s="9">
        <f>IF(IF(IF(ISERROR(DATE(2028,2,1)&gt;=DATE(YEAR('Model inputs'!U13),MONTH('Model inputs'!U13),1)),DATE(2028,2,1)&gt;=DATE(YEAR('Model inputs'!U13),MONTH('Model inputs'!U13),1),IF(DATE(YEAR('Model inputs'!U13),MONTH('Model inputs'!U13),1)="","",DATE(2028,2,1)&gt;=DATE(YEAR('Model inputs'!U13),MONTH('Model inputs'!U13),1)))="",FALSE,IF(ISERROR(DATE(2028,2,1)&gt;=DATE(YEAR('Model inputs'!U13),MONTH('Model inputs'!U13),1)),DATE(2028,2,1)&gt;=DATE(YEAR('Model inputs'!U13),MONTH('Model inputs'!U13),1),IF(DATE(YEAR('Model inputs'!U13),MONTH('Model inputs'!U13),1)="","",DATE(2028,2,1)&gt;=DATE(YEAR('Model inputs'!U13),MONTH('Model inputs'!U13),1)))),IF('Model inputs'!U26="","",'Model inputs'!U26),0)</f>
        <v>2000</v>
      </c>
      <c r="T18" s="9">
        <f>IF(IF(IF(ISERROR(DATE(2028,3,1)&gt;=DATE(YEAR('Model inputs'!U13),MONTH('Model inputs'!U13),1)),DATE(2028,3,1)&gt;=DATE(YEAR('Model inputs'!U13),MONTH('Model inputs'!U13),1),IF(DATE(YEAR('Model inputs'!U13),MONTH('Model inputs'!U13),1)="","",DATE(2028,3,1)&gt;=DATE(YEAR('Model inputs'!U13),MONTH('Model inputs'!U13),1)))="",FALSE,IF(ISERROR(DATE(2028,3,1)&gt;=DATE(YEAR('Model inputs'!U13),MONTH('Model inputs'!U13),1)),DATE(2028,3,1)&gt;=DATE(YEAR('Model inputs'!U13),MONTH('Model inputs'!U13),1),IF(DATE(YEAR('Model inputs'!U13),MONTH('Model inputs'!U13),1)="","",DATE(2028,3,1)&gt;=DATE(YEAR('Model inputs'!U13),MONTH('Model inputs'!U13),1)))),IF('Model inputs'!U26="","",'Model inputs'!U26),0)</f>
        <v>2000</v>
      </c>
    </row>
    <row r="19">
      <c r="A19" t="inlineStr" s="15">
        <is>
          <t xml:space="preserve">Founder payroll · Growth</t>
        </is>
      </c>
      <c r="B19" s="9">
        <f>SUM('Model inputs'!B53,'Model inputs'!B54,'Model inputs'!B55,'Model inputs'!B56)</f>
        <v>0</v>
      </c>
      <c r="C19" s="9">
        <f>SUM('Model inputs'!C53,'Model inputs'!C54,'Model inputs'!C55,'Model inputs'!C56)</f>
        <v>0</v>
      </c>
      <c r="D19" s="9">
        <f>SUM('Model inputs'!D53,'Model inputs'!D54,'Model inputs'!D55,'Model inputs'!D56)</f>
        <v>0</v>
      </c>
      <c r="E19" s="9">
        <f>SUM('Model inputs'!E53,'Model inputs'!E54,'Model inputs'!E55,'Model inputs'!E56)</f>
        <v>0</v>
      </c>
      <c r="F19" s="9">
        <f>SUM('Model inputs'!F53,'Model inputs'!F54,'Model inputs'!F55,'Model inputs'!F56)</f>
        <v>0</v>
      </c>
      <c r="G19" s="9">
        <f>SUM('Model inputs'!G53,'Model inputs'!G54,'Model inputs'!G55,'Model inputs'!G56)</f>
        <v>0</v>
      </c>
      <c r="H19" s="9">
        <f>SUM('Model inputs'!H53,'Model inputs'!H54,'Model inputs'!H55,'Model inputs'!H56)</f>
        <v>0</v>
      </c>
      <c r="I19" s="9">
        <f>SUM('Model inputs'!I53,'Model inputs'!I54,'Model inputs'!I55,'Model inputs'!I56)</f>
        <v>8000</v>
      </c>
      <c r="J19" s="9">
        <f>SUM('Model inputs'!J53,'Model inputs'!J54,'Model inputs'!J55,'Model inputs'!J56)</f>
        <v>8000</v>
      </c>
      <c r="K19" s="9">
        <f>SUM('Model inputs'!K53,'Model inputs'!K54,'Model inputs'!K55,'Model inputs'!K56)</f>
        <v>8000</v>
      </c>
      <c r="L19" s="9">
        <f>SUM('Model inputs'!L53,'Model inputs'!L54,'Model inputs'!L55,'Model inputs'!L56)</f>
        <v>8000</v>
      </c>
      <c r="M19" s="9">
        <f>SUM('Model inputs'!M53,'Model inputs'!M54,'Model inputs'!M55,'Model inputs'!M56)</f>
        <v>8000</v>
      </c>
      <c r="N19" s="9">
        <f>SUM('Model inputs'!N53,'Model inputs'!N54,'Model inputs'!N55,'Model inputs'!N56)</f>
        <v>8000</v>
      </c>
      <c r="O19" s="9">
        <f>SUM('Model inputs'!O53,'Model inputs'!O54,'Model inputs'!O55,'Model inputs'!O56)</f>
        <v>8000</v>
      </c>
      <c r="P19" s="9">
        <f>SUM('Model inputs'!P53,'Model inputs'!P54,'Model inputs'!P55,'Model inputs'!P56)</f>
        <v>8000</v>
      </c>
      <c r="Q19" s="9">
        <f>SUM('Model inputs'!Q53,'Model inputs'!Q54,'Model inputs'!Q55,'Model inputs'!Q56)</f>
        <v>8000</v>
      </c>
      <c r="R19" s="9">
        <f>SUM('Model inputs'!R53,'Model inputs'!R54,'Model inputs'!R55,'Model inputs'!R56)</f>
        <v>8000</v>
      </c>
      <c r="S19" s="9">
        <f>SUM('Model inputs'!S53,'Model inputs'!S54,'Model inputs'!S55,'Model inputs'!S56)</f>
        <v>8000</v>
      </c>
      <c r="T19" s="9">
        <f>SUM('Model inputs'!T53,'Model inputs'!T54,'Model inputs'!T55,'Model inputs'!T56)</f>
        <v>8000</v>
      </c>
    </row>
    <row r="20">
      <c r="A20" t="inlineStr" s="15">
        <is>
          <t xml:space="preserve">Gross profit · Base</t>
        </is>
      </c>
      <c r="B20" s="9">
        <v>0</v>
      </c>
      <c r="C20" s="9">
        <f>'Model inputs'!C27-'Model inputs'!C42</f>
        <v>750</v>
      </c>
      <c r="D20" s="9">
        <f>'Model inputs'!D27-'Model inputs'!D42</f>
        <v>750</v>
      </c>
      <c r="E20" s="9">
        <f>'Model inputs'!E27-'Model inputs'!E42</f>
        <v>750</v>
      </c>
      <c r="F20" s="9">
        <f>'Model inputs'!F27-'Model inputs'!F42</f>
        <v>750</v>
      </c>
      <c r="G20" s="9">
        <f>'Model inputs'!G27-'Model inputs'!G42</f>
        <v>750</v>
      </c>
      <c r="H20" s="9">
        <f>'Model inputs'!H27-'Model inputs'!H42</f>
        <v>750</v>
      </c>
      <c r="I20" s="9">
        <f>'Model inputs'!I27-'Model inputs'!I42</f>
        <v>750</v>
      </c>
      <c r="J20" s="9">
        <f>'Model inputs'!J27-'Model inputs'!J42</f>
        <v>750</v>
      </c>
      <c r="K20" s="9">
        <f>'Model inputs'!K27-'Model inputs'!K42</f>
        <v>750</v>
      </c>
      <c r="L20" s="9">
        <f>'Model inputs'!L27-'Model inputs'!L42</f>
        <v>750</v>
      </c>
      <c r="M20" s="9">
        <f>'Model inputs'!M27-'Model inputs'!M42</f>
        <v>750</v>
      </c>
      <c r="N20" s="9">
        <f>'Model inputs'!N27-'Model inputs'!N42</f>
        <v>750</v>
      </c>
      <c r="O20" s="9">
        <f>'Model inputs'!O27-'Model inputs'!O42</f>
        <v>750</v>
      </c>
      <c r="P20" s="9">
        <f>'Model inputs'!P27-'Model inputs'!P42</f>
        <v>750</v>
      </c>
      <c r="Q20" s="9">
        <f>'Model inputs'!Q27-'Model inputs'!Q42</f>
        <v>750</v>
      </c>
      <c r="R20" s="9">
        <f>'Model inputs'!R27-'Model inputs'!R42</f>
        <v>750</v>
      </c>
      <c r="S20" s="9">
        <f>'Model inputs'!S27-'Model inputs'!S42</f>
        <v>750</v>
      </c>
      <c r="T20" s="9">
        <f>'Model inputs'!T27-'Model inputs'!T42</f>
        <v>750</v>
      </c>
    </row>
    <row r="21">
      <c r="A21" t="inlineStr" s="15">
        <is>
          <t xml:space="preserve">Gross profit · Growth</t>
        </is>
      </c>
      <c r="B21" s="9">
        <v>0</v>
      </c>
      <c r="C21" s="9">
        <f>'Model inputs'!C58-'Model inputs'!C46</f>
        <v>750</v>
      </c>
      <c r="D21" s="9">
        <f>'Model inputs'!D58-'Model inputs'!D46</f>
        <v>845</v>
      </c>
      <c r="E21" s="9">
        <f>'Model inputs'!E58-'Model inputs'!E46</f>
        <v>949.5000000000005</v>
      </c>
      <c r="F21" s="9">
        <f>'Model inputs'!F58-'Model inputs'!F46</f>
        <v>1064.4500000000003</v>
      </c>
      <c r="G21" s="9">
        <f>'Model inputs'!G58-'Model inputs'!G46</f>
        <v>1190.8950000000004</v>
      </c>
      <c r="H21" s="9">
        <f>'Model inputs'!H58-'Model inputs'!H46</f>
        <v>1329.984500000001</v>
      </c>
      <c r="I21" s="9">
        <f>'Model inputs'!I58-'Model inputs'!I46</f>
        <v>1482.982950000001</v>
      </c>
      <c r="J21" s="9">
        <f>'Model inputs'!J58-'Model inputs'!J46</f>
        <v>1651.2812450000015</v>
      </c>
      <c r="K21" s="9">
        <f>'Model inputs'!K58-'Model inputs'!K46</f>
        <v>1836.4093695000015</v>
      </c>
      <c r="L21" s="9">
        <f>'Model inputs'!L58-'Model inputs'!L46</f>
        <v>2040.0503064500022</v>
      </c>
      <c r="M21" s="9">
        <f>'Model inputs'!M58-'Model inputs'!M46</f>
        <v>2264.055337095003</v>
      </c>
      <c r="N21" s="9">
        <f>'Model inputs'!N58-'Model inputs'!N46</f>
        <v>2510.4608708045016</v>
      </c>
      <c r="O21" s="9">
        <f>'Model inputs'!O58-'Model inputs'!O46</f>
        <v>2781.5069578849534</v>
      </c>
      <c r="P21" s="9">
        <f>'Model inputs'!P58-'Model inputs'!P46</f>
        <v>3079.657653673449</v>
      </c>
      <c r="Q21" s="9">
        <f>'Model inputs'!Q58-'Model inputs'!Q46</f>
        <v>3407.623419040794</v>
      </c>
      <c r="R21" s="9">
        <f>'Model inputs'!R58-'Model inputs'!R46</f>
        <v>3768.3857609448733</v>
      </c>
      <c r="S21" s="9">
        <f>'Model inputs'!S58-'Model inputs'!S46</f>
        <v>4165.22433703936</v>
      </c>
      <c r="T21" s="9">
        <f>'Model inputs'!T58-'Model inputs'!T46</f>
        <v>4601.746770743297</v>
      </c>
    </row>
    <row r="22">
      <c r="A22" t="inlineStr" s="15">
        <is>
          <t xml:space="preserve">Monthly founder pay</t>
        </is>
      </c>
      <c r="U22" s="11">
        <v>0</v>
      </c>
    </row>
    <row r="23" outlineLevel="1">
      <c r="A23" t="inlineStr" s="17">
        <is>
          <t xml:space="preserve">Monthly founder pay &gt; Placeholder founder 1</t>
        </is>
      </c>
      <c r="U23" s="9">
        <f>2000</f>
        <v>2000</v>
      </c>
    </row>
    <row r="24" outlineLevel="1">
      <c r="A24" t="inlineStr" s="17">
        <is>
          <t xml:space="preserve">Monthly founder pay &gt; Placeholder founder 2</t>
        </is>
      </c>
      <c r="U24" s="9">
        <f>2000</f>
        <v>2000</v>
      </c>
    </row>
    <row r="25" outlineLevel="1">
      <c r="A25" t="inlineStr" s="17">
        <is>
          <t xml:space="preserve">Monthly founder pay &gt; Placeholder founder 3</t>
        </is>
      </c>
      <c r="U25" s="9">
        <f>2000</f>
        <v>2000</v>
      </c>
    </row>
    <row r="26" outlineLevel="1">
      <c r="A26" t="inlineStr" s="17">
        <is>
          <t xml:space="preserve">Monthly founder pay &gt; Placeholder founder 4</t>
        </is>
      </c>
      <c r="U26" s="9">
        <f>2000</f>
        <v>2000</v>
      </c>
    </row>
    <row r="27">
      <c r="A27" t="inlineStr" s="15">
        <is>
          <t xml:space="preserve">Monthly revenue</t>
        </is>
      </c>
      <c r="B27" s="9">
        <v>0</v>
      </c>
      <c r="C27" s="9">
        <f>'Model inputs'!C32*'Model inputs'!U35</f>
        <v>2450</v>
      </c>
      <c r="D27" s="9">
        <f>'Model inputs'!D32*'Model inputs'!U35</f>
        <v>2450</v>
      </c>
      <c r="E27" s="9">
        <f>'Model inputs'!E32*'Model inputs'!U35</f>
        <v>2450</v>
      </c>
      <c r="F27" s="9">
        <f>'Model inputs'!F32*'Model inputs'!U35</f>
        <v>2450</v>
      </c>
      <c r="G27" s="9">
        <f>'Model inputs'!G32*'Model inputs'!U35</f>
        <v>2450</v>
      </c>
      <c r="H27" s="9">
        <f>'Model inputs'!H32*'Model inputs'!U35</f>
        <v>2450</v>
      </c>
      <c r="I27" s="9">
        <f>'Model inputs'!I32*'Model inputs'!U35</f>
        <v>2450</v>
      </c>
      <c r="J27" s="9">
        <f>'Model inputs'!J32*'Model inputs'!U35</f>
        <v>2450</v>
      </c>
      <c r="K27" s="9">
        <f>'Model inputs'!K32*'Model inputs'!U35</f>
        <v>2450</v>
      </c>
      <c r="L27" s="9">
        <f>'Model inputs'!L32*'Model inputs'!U35</f>
        <v>2450</v>
      </c>
      <c r="M27" s="9">
        <f>'Model inputs'!M32*'Model inputs'!U35</f>
        <v>2450</v>
      </c>
      <c r="N27" s="9">
        <f>'Model inputs'!N32*'Model inputs'!U35</f>
        <v>2450</v>
      </c>
      <c r="O27" s="9">
        <f>'Model inputs'!O32*'Model inputs'!U35</f>
        <v>2450</v>
      </c>
      <c r="P27" s="9">
        <f>'Model inputs'!P32*'Model inputs'!U35</f>
        <v>2450</v>
      </c>
      <c r="Q27" s="9">
        <f>'Model inputs'!Q32*'Model inputs'!U35</f>
        <v>2450</v>
      </c>
      <c r="R27" s="9">
        <f>'Model inputs'!R32*'Model inputs'!U35</f>
        <v>2450</v>
      </c>
      <c r="S27" s="9">
        <f>'Model inputs'!S32*'Model inputs'!U35</f>
        <v>2450</v>
      </c>
      <c r="T27" s="9">
        <f>'Model inputs'!T32*'Model inputs'!U35</f>
        <v>2450</v>
      </c>
    </row>
    <row r="28">
      <c r="A28" t="inlineStr" s="15">
        <is>
          <t xml:space="preserve">Net cash flow · Base</t>
        </is>
      </c>
      <c r="B28" s="9">
        <v>0</v>
      </c>
      <c r="C28" s="9">
        <f>'Model inputs'!C20-'Model inputs'!C14</f>
        <v>750</v>
      </c>
      <c r="D28" s="9">
        <f>'Model inputs'!D20-'Model inputs'!D14</f>
        <v>750</v>
      </c>
      <c r="E28" s="9">
        <f>'Model inputs'!E20-'Model inputs'!E14</f>
        <v>750</v>
      </c>
      <c r="F28" s="9">
        <f>'Model inputs'!F20-'Model inputs'!F14</f>
        <v>750</v>
      </c>
      <c r="G28" s="9">
        <f>'Model inputs'!G20-'Model inputs'!G14</f>
        <v>750</v>
      </c>
      <c r="H28" s="9">
        <f>'Model inputs'!H20-'Model inputs'!H14</f>
        <v>750</v>
      </c>
      <c r="I28" s="9">
        <f>'Model inputs'!I20-'Model inputs'!I14</f>
        <v>-7250</v>
      </c>
      <c r="J28" s="9">
        <f>'Model inputs'!J20-'Model inputs'!J14</f>
        <v>-7250</v>
      </c>
      <c r="K28" s="9">
        <f>'Model inputs'!K20-'Model inputs'!K14</f>
        <v>-7250</v>
      </c>
      <c r="L28" s="9">
        <f>'Model inputs'!L20-'Model inputs'!L14</f>
        <v>-7250</v>
      </c>
      <c r="M28" s="9">
        <f>'Model inputs'!M20-'Model inputs'!M14</f>
        <v>-7250</v>
      </c>
      <c r="N28" s="9">
        <f>'Model inputs'!N20-'Model inputs'!N14</f>
        <v>-7250</v>
      </c>
      <c r="O28" s="9">
        <f>'Model inputs'!O20-'Model inputs'!O14</f>
        <v>-7250</v>
      </c>
      <c r="P28" s="9">
        <f>'Model inputs'!P20-'Model inputs'!P14</f>
        <v>-7250</v>
      </c>
      <c r="Q28" s="9">
        <f>'Model inputs'!Q20-'Model inputs'!Q14</f>
        <v>-7250</v>
      </c>
      <c r="R28" s="9">
        <f>'Model inputs'!R20-'Model inputs'!R14</f>
        <v>-7250</v>
      </c>
      <c r="S28" s="9">
        <f>'Model inputs'!S20-'Model inputs'!S14</f>
        <v>-7250</v>
      </c>
      <c r="T28" s="9">
        <f>'Model inputs'!T20-'Model inputs'!T14</f>
        <v>-7250</v>
      </c>
    </row>
    <row r="29">
      <c r="A29" t="inlineStr" s="15">
        <is>
          <t xml:space="preserve">Net cash flow · Growth</t>
        </is>
      </c>
      <c r="B29" s="9">
        <v>0</v>
      </c>
      <c r="C29" s="9">
        <f>'Model inputs'!C21-'Model inputs'!C19</f>
        <v>750</v>
      </c>
      <c r="D29" s="9">
        <f>'Model inputs'!D21-'Model inputs'!D19</f>
        <v>845</v>
      </c>
      <c r="E29" s="9">
        <f>'Model inputs'!E21-'Model inputs'!E19</f>
        <v>949.5000000000005</v>
      </c>
      <c r="F29" s="9">
        <f>'Model inputs'!F21-'Model inputs'!F19</f>
        <v>1064.4500000000003</v>
      </c>
      <c r="G29" s="9">
        <f>'Model inputs'!G21-'Model inputs'!G19</f>
        <v>1190.8950000000004</v>
      </c>
      <c r="H29" s="9">
        <f>'Model inputs'!H21-'Model inputs'!H19</f>
        <v>1329.984500000001</v>
      </c>
      <c r="I29" s="9">
        <f>'Model inputs'!I21-'Model inputs'!I19</f>
        <v>-6517.017049999999</v>
      </c>
      <c r="J29" s="9">
        <f>'Model inputs'!J21-'Model inputs'!J19</f>
        <v>-6348.718754999998</v>
      </c>
      <c r="K29" s="9">
        <f>'Model inputs'!K21-'Model inputs'!K19</f>
        <v>-6163.590630499999</v>
      </c>
      <c r="L29" s="9">
        <f>'Model inputs'!L21-'Model inputs'!L19</f>
        <v>-5959.949693549997</v>
      </c>
      <c r="M29" s="9">
        <f>'Model inputs'!M21-'Model inputs'!M19</f>
        <v>-5735.944662904997</v>
      </c>
      <c r="N29" s="9">
        <f>'Model inputs'!N21-'Model inputs'!N19</f>
        <v>-5489.539129195498</v>
      </c>
      <c r="O29" s="9">
        <f>'Model inputs'!O21-'Model inputs'!O19</f>
        <v>-5218.493042115047</v>
      </c>
      <c r="P29" s="9">
        <f>'Model inputs'!P21-'Model inputs'!P19</f>
        <v>-4920.342346326551</v>
      </c>
      <c r="Q29" s="9">
        <f>'Model inputs'!Q21-'Model inputs'!Q19</f>
        <v>-4592.376580959206</v>
      </c>
      <c r="R29" s="9">
        <f>'Model inputs'!R21-'Model inputs'!R19</f>
        <v>-4231.614239055127</v>
      </c>
      <c r="S29" s="9">
        <f>'Model inputs'!S21-'Model inputs'!S19</f>
        <v>-3834.77566296064</v>
      </c>
      <c r="T29" s="9">
        <f>'Model inputs'!T21-'Model inputs'!T19</f>
        <v>-3398.253229256703</v>
      </c>
    </row>
    <row r="30">
      <c r="A30" t="inlineStr" s="15">
        <is>
          <t xml:space="preserve">Net monthly customer growth · Base</t>
        </is>
      </c>
      <c r="U30" s="19">
        <f>0</f>
        <v>0</v>
      </c>
    </row>
    <row r="31">
      <c r="A31" t="inlineStr" s="15">
        <is>
          <t xml:space="preserve">Net monthly customer growth · Growth</t>
        </is>
      </c>
      <c r="U31" s="19">
        <f>0.1</f>
        <v>0.1</v>
      </c>
    </row>
    <row r="32">
      <c r="A32" t="inlineStr" s="15">
        <is>
          <t xml:space="preserve">Paying teams · Base</t>
        </is>
      </c>
      <c r="B32" s="20">
        <v>0</v>
      </c>
      <c r="C32" s="20">
        <f>IF('Model inputs'!U40="","",'Model inputs'!U40)</f>
        <v>50</v>
      </c>
      <c r="D32" s="20">
        <f>'Model inputs'!C32*(1+'Model inputs'!U30)</f>
        <v>50</v>
      </c>
      <c r="E32" s="20">
        <f>'Model inputs'!D32*(1+'Model inputs'!U30)</f>
        <v>50</v>
      </c>
      <c r="F32" s="20">
        <f>'Model inputs'!E32*(1+'Model inputs'!U30)</f>
        <v>50</v>
      </c>
      <c r="G32" s="20">
        <f>'Model inputs'!F32*(1+'Model inputs'!U30)</f>
        <v>50</v>
      </c>
      <c r="H32" s="20">
        <f>'Model inputs'!G32*(1+'Model inputs'!U30)</f>
        <v>50</v>
      </c>
      <c r="I32" s="20">
        <f>'Model inputs'!H32*(1+'Model inputs'!U30)</f>
        <v>50</v>
      </c>
      <c r="J32" s="20">
        <f>'Model inputs'!I32*(1+'Model inputs'!U30)</f>
        <v>50</v>
      </c>
      <c r="K32" s="20">
        <f>'Model inputs'!J32*(1+'Model inputs'!U30)</f>
        <v>50</v>
      </c>
      <c r="L32" s="20">
        <f>'Model inputs'!K32*(1+'Model inputs'!U30)</f>
        <v>50</v>
      </c>
      <c r="M32" s="20">
        <f>'Model inputs'!L32*(1+'Model inputs'!U30)</f>
        <v>50</v>
      </c>
      <c r="N32" s="20">
        <f>'Model inputs'!M32*(1+'Model inputs'!U30)</f>
        <v>50</v>
      </c>
      <c r="O32" s="20">
        <f>'Model inputs'!N32*(1+'Model inputs'!U30)</f>
        <v>50</v>
      </c>
      <c r="P32" s="20">
        <f>'Model inputs'!O32*(1+'Model inputs'!U30)</f>
        <v>50</v>
      </c>
      <c r="Q32" s="20">
        <f>'Model inputs'!P32*(1+'Model inputs'!U30)</f>
        <v>50</v>
      </c>
      <c r="R32" s="20">
        <f>'Model inputs'!Q32*(1+'Model inputs'!U30)</f>
        <v>50</v>
      </c>
      <c r="S32" s="20">
        <f>'Model inputs'!R32*(1+'Model inputs'!U30)</f>
        <v>50</v>
      </c>
      <c r="T32" s="20">
        <f>'Model inputs'!S32*(1+'Model inputs'!U30)</f>
        <v>50</v>
      </c>
    </row>
    <row r="33">
      <c r="A33" t="inlineStr" s="15">
        <is>
          <t xml:space="preserve">Paying teams · Growth</t>
        </is>
      </c>
      <c r="B33" s="20">
        <v>0</v>
      </c>
      <c r="C33" s="20">
        <f>IF('Model inputs'!U41="","",'Model inputs'!U41)</f>
        <v>50</v>
      </c>
      <c r="D33" s="20">
        <f>'Model inputs'!C33*(1+'Model inputs'!U31)</f>
        <v>55.00000000000001</v>
      </c>
      <c r="E33" s="20">
        <f>'Model inputs'!D33*(1+'Model inputs'!U31)</f>
        <v>60.500000000000014</v>
      </c>
      <c r="F33" s="20">
        <f>'Model inputs'!E33*(1+'Model inputs'!U31)</f>
        <v>66.55000000000003</v>
      </c>
      <c r="G33" s="20">
        <f>'Model inputs'!F33*(1+'Model inputs'!U31)</f>
        <v>73.20500000000004</v>
      </c>
      <c r="H33" s="20">
        <f>'Model inputs'!G33*(1+'Model inputs'!U31)</f>
        <v>80.52550000000005</v>
      </c>
      <c r="I33" s="20">
        <f>'Model inputs'!H33*(1+'Model inputs'!U31)</f>
        <v>88.57805000000006</v>
      </c>
      <c r="J33" s="20">
        <f>'Model inputs'!I33*(1+'Model inputs'!U31)</f>
        <v>97.43585500000007</v>
      </c>
      <c r="K33" s="20">
        <f>'Model inputs'!J33*(1+'Model inputs'!U31)</f>
        <v>107.1794405000001</v>
      </c>
      <c r="L33" s="20">
        <f>'Model inputs'!K33*(1+'Model inputs'!U31)</f>
        <v>117.89738455000011</v>
      </c>
      <c r="M33" s="20">
        <f>'Model inputs'!L33*(1+'Model inputs'!U31)</f>
        <v>129.68712300500013</v>
      </c>
      <c r="N33" s="20">
        <f>'Model inputs'!M33*(1+'Model inputs'!U31)</f>
        <v>142.65583530550015</v>
      </c>
      <c r="O33" s="20">
        <f>'Model inputs'!N33*(1+'Model inputs'!U31)</f>
        <v>156.92141883605018</v>
      </c>
      <c r="P33" s="20">
        <f>'Model inputs'!O33*(1+'Model inputs'!U31)</f>
        <v>172.6135607196552</v>
      </c>
      <c r="Q33" s="20">
        <f>'Model inputs'!P33*(1+'Model inputs'!U31)</f>
        <v>189.87491679162073</v>
      </c>
      <c r="R33" s="20">
        <f>'Model inputs'!Q33*(1+'Model inputs'!U31)</f>
        <v>208.8624084707828</v>
      </c>
      <c r="S33" s="20">
        <f>'Model inputs'!R33*(1+'Model inputs'!U31)</f>
        <v>229.74864931786112</v>
      </c>
      <c r="T33" s="20">
        <f>'Model inputs'!S33*(1+'Model inputs'!U31)</f>
        <v>252.72351424964725</v>
      </c>
    </row>
    <row r="34">
      <c r="A34" t="inlineStr" s="15">
        <is>
          <t xml:space="preserve">Repair cost per round · 18-month forecast</t>
        </is>
      </c>
      <c r="U34" s="9">
        <f>'Model inputs'!U47+'Model inputs'!U63*((1-'Model inputs'!U62)*'Model inputs'!U57+'Model inputs'!U62*'Model inputs'!U61)</f>
        <v>1.5</v>
      </c>
    </row>
    <row r="35">
      <c r="A35" t="inlineStr" s="15">
        <is>
          <t xml:space="preserve">Revenue per team · Base</t>
        </is>
      </c>
      <c r="U35" s="10">
        <f>'Model inputs'!U59+'Model inputs'!U50*'Model inputs'!U48</f>
        <v>49</v>
      </c>
    </row>
    <row r="36">
      <c r="A36" t="inlineStr" s="15">
        <is>
          <t xml:space="preserve">Revenue per team · Growth</t>
        </is>
      </c>
      <c r="U36" s="10">
        <f>'Model inputs'!U60+'Model inputs'!U51*'Model inputs'!U49</f>
        <v>49</v>
      </c>
    </row>
    <row r="37">
      <c r="A37" t="inlineStr" s="15">
        <is>
          <t xml:space="preserve">Rounds per team · 18-month forecast</t>
        </is>
      </c>
      <c r="U37" s="10">
        <f>'Model inputs'!U64+'Model inputs'!U50</f>
        <v>20</v>
      </c>
    </row>
    <row r="38">
      <c r="A38" t="inlineStr" s="15">
        <is>
          <t xml:space="preserve">Starting cash · Base</t>
        </is>
      </c>
      <c r="U38" s="10">
        <f>10000</f>
        <v>10000</v>
      </c>
    </row>
    <row r="39">
      <c r="A39" t="inlineStr" s="15">
        <is>
          <t xml:space="preserve">Starting cash · Growth</t>
        </is>
      </c>
      <c r="U39" s="10">
        <f>'Model inputs'!U38</f>
        <v>10000</v>
      </c>
    </row>
    <row r="40">
      <c r="A40" t="inlineStr" s="15">
        <is>
          <t xml:space="preserve">Starting teams · Base</t>
        </is>
      </c>
      <c r="U40" s="10">
        <f>50</f>
        <v>50</v>
      </c>
    </row>
    <row r="41">
      <c r="A41" t="inlineStr" s="15">
        <is>
          <t xml:space="preserve">Starting teams · Growth</t>
        </is>
      </c>
      <c r="U41" s="10">
        <f>'Model inputs'!U40</f>
        <v>50</v>
      </c>
    </row>
    <row r="42">
      <c r="A42" t="inlineStr" s="15">
        <is>
          <t xml:space="preserve">Cost of revenue</t>
        </is>
      </c>
      <c r="B42" s="9">
        <v>0</v>
      </c>
      <c r="C42" s="9">
        <f>'Model inputs'!C44+'Model inputs'!C43</f>
        <v>1700</v>
      </c>
      <c r="D42" s="9">
        <f>'Model inputs'!D44+'Model inputs'!D43</f>
        <v>1700</v>
      </c>
      <c r="E42" s="9">
        <f>'Model inputs'!E44+'Model inputs'!E43</f>
        <v>1700</v>
      </c>
      <c r="F42" s="9">
        <f>'Model inputs'!F44+'Model inputs'!F43</f>
        <v>1700</v>
      </c>
      <c r="G42" s="9">
        <f>'Model inputs'!G44+'Model inputs'!G43</f>
        <v>1700</v>
      </c>
      <c r="H42" s="9">
        <f>'Model inputs'!H44+'Model inputs'!H43</f>
        <v>1700</v>
      </c>
      <c r="I42" s="9">
        <f>'Model inputs'!I44+'Model inputs'!I43</f>
        <v>1700</v>
      </c>
      <c r="J42" s="9">
        <f>'Model inputs'!J44+'Model inputs'!J43</f>
        <v>1700</v>
      </c>
      <c r="K42" s="9">
        <f>'Model inputs'!K44+'Model inputs'!K43</f>
        <v>1700</v>
      </c>
      <c r="L42" s="9">
        <f>'Model inputs'!L44+'Model inputs'!L43</f>
        <v>1700</v>
      </c>
      <c r="M42" s="9">
        <f>'Model inputs'!M44+'Model inputs'!M43</f>
        <v>1700</v>
      </c>
      <c r="N42" s="9">
        <f>'Model inputs'!N44+'Model inputs'!N43</f>
        <v>1700</v>
      </c>
      <c r="O42" s="9">
        <f>'Model inputs'!O44+'Model inputs'!O43</f>
        <v>1700</v>
      </c>
      <c r="P42" s="9">
        <f>'Model inputs'!P44+'Model inputs'!P43</f>
        <v>1700</v>
      </c>
      <c r="Q42" s="9">
        <f>'Model inputs'!Q44+'Model inputs'!Q43</f>
        <v>1700</v>
      </c>
      <c r="R42" s="9">
        <f>'Model inputs'!R44+'Model inputs'!R43</f>
        <v>1700</v>
      </c>
      <c r="S42" s="9">
        <f>'Model inputs'!S44+'Model inputs'!S43</f>
        <v>1700</v>
      </c>
      <c r="T42" s="9">
        <f>'Model inputs'!T44+'Model inputs'!T43</f>
        <v>1700</v>
      </c>
    </row>
    <row r="43">
      <c r="A43" t="inlineStr" s="15">
        <is>
          <t xml:space="preserve">Infrastructure expense</t>
        </is>
      </c>
      <c r="B43" s="9">
        <v>0</v>
      </c>
      <c r="C43" s="9">
        <f>IF('Model inputs'!U8="","",'Model inputs'!U8)</f>
        <v>200</v>
      </c>
      <c r="D43" s="9">
        <f>IF('Model inputs'!U8="","",'Model inputs'!U8)</f>
        <v>200</v>
      </c>
      <c r="E43" s="9">
        <f>IF('Model inputs'!U8="","",'Model inputs'!U8)</f>
        <v>200</v>
      </c>
      <c r="F43" s="9">
        <f>IF('Model inputs'!U8="","",'Model inputs'!U8)</f>
        <v>200</v>
      </c>
      <c r="G43" s="9">
        <f>IF('Model inputs'!U8="","",'Model inputs'!U8)</f>
        <v>200</v>
      </c>
      <c r="H43" s="9">
        <f>IF('Model inputs'!U8="","",'Model inputs'!U8)</f>
        <v>200</v>
      </c>
      <c r="I43" s="9">
        <f>IF('Model inputs'!U8="","",'Model inputs'!U8)</f>
        <v>200</v>
      </c>
      <c r="J43" s="9">
        <f>IF('Model inputs'!U8="","",'Model inputs'!U8)</f>
        <v>200</v>
      </c>
      <c r="K43" s="9">
        <f>IF('Model inputs'!U8="","",'Model inputs'!U8)</f>
        <v>200</v>
      </c>
      <c r="L43" s="9">
        <f>IF('Model inputs'!U8="","",'Model inputs'!U8)</f>
        <v>200</v>
      </c>
      <c r="M43" s="9">
        <f>IF('Model inputs'!U8="","",'Model inputs'!U8)</f>
        <v>200</v>
      </c>
      <c r="N43" s="9">
        <f>IF('Model inputs'!U8="","",'Model inputs'!U8)</f>
        <v>200</v>
      </c>
      <c r="O43" s="9">
        <f>IF('Model inputs'!U8="","",'Model inputs'!U8)</f>
        <v>200</v>
      </c>
      <c r="P43" s="9">
        <f>IF('Model inputs'!U8="","",'Model inputs'!U8)</f>
        <v>200</v>
      </c>
      <c r="Q43" s="9">
        <f>IF('Model inputs'!U8="","",'Model inputs'!U8)</f>
        <v>200</v>
      </c>
      <c r="R43" s="9">
        <f>IF('Model inputs'!U8="","",'Model inputs'!U8)</f>
        <v>200</v>
      </c>
      <c r="S43" s="9">
        <f>IF('Model inputs'!U8="","",'Model inputs'!U8)</f>
        <v>200</v>
      </c>
      <c r="T43" s="9">
        <f>IF('Model inputs'!U8="","",'Model inputs'!U8)</f>
        <v>200</v>
      </c>
    </row>
    <row r="44">
      <c r="A44" t="inlineStr" s="15">
        <is>
          <t xml:space="preserve">Monthly model fees</t>
        </is>
      </c>
      <c r="B44" s="9">
        <v>0</v>
      </c>
      <c r="C44" s="9">
        <f>'Model inputs'!C45*'Model inputs'!U34</f>
        <v>1500</v>
      </c>
      <c r="D44" s="9">
        <f>'Model inputs'!D45*'Model inputs'!U34</f>
        <v>1500</v>
      </c>
      <c r="E44" s="9">
        <f>'Model inputs'!E45*'Model inputs'!U34</f>
        <v>1500</v>
      </c>
      <c r="F44" s="9">
        <f>'Model inputs'!F45*'Model inputs'!U34</f>
        <v>1500</v>
      </c>
      <c r="G44" s="9">
        <f>'Model inputs'!G45*'Model inputs'!U34</f>
        <v>1500</v>
      </c>
      <c r="H44" s="9">
        <f>'Model inputs'!H45*'Model inputs'!U34</f>
        <v>1500</v>
      </c>
      <c r="I44" s="9">
        <f>'Model inputs'!I45*'Model inputs'!U34</f>
        <v>1500</v>
      </c>
      <c r="J44" s="9">
        <f>'Model inputs'!J45*'Model inputs'!U34</f>
        <v>1500</v>
      </c>
      <c r="K44" s="9">
        <f>'Model inputs'!K45*'Model inputs'!U34</f>
        <v>1500</v>
      </c>
      <c r="L44" s="9">
        <f>'Model inputs'!L45*'Model inputs'!U34</f>
        <v>1500</v>
      </c>
      <c r="M44" s="9">
        <f>'Model inputs'!M45*'Model inputs'!U34</f>
        <v>1500</v>
      </c>
      <c r="N44" s="9">
        <f>'Model inputs'!N45*'Model inputs'!U34</f>
        <v>1500</v>
      </c>
      <c r="O44" s="9">
        <f>'Model inputs'!O45*'Model inputs'!U34</f>
        <v>1500</v>
      </c>
      <c r="P44" s="9">
        <f>'Model inputs'!P45*'Model inputs'!U34</f>
        <v>1500</v>
      </c>
      <c r="Q44" s="9">
        <f>'Model inputs'!Q45*'Model inputs'!U34</f>
        <v>1500</v>
      </c>
      <c r="R44" s="9">
        <f>'Model inputs'!R45*'Model inputs'!U34</f>
        <v>1500</v>
      </c>
      <c r="S44" s="9">
        <f>'Model inputs'!S45*'Model inputs'!U34</f>
        <v>1500</v>
      </c>
      <c r="T44" s="9">
        <f>'Model inputs'!T45*'Model inputs'!U34</f>
        <v>1500</v>
      </c>
    </row>
    <row r="45">
      <c r="A45" t="inlineStr" s="15">
        <is>
          <t xml:space="preserve">Repair rounds delivered</t>
        </is>
      </c>
      <c r="B45" s="10">
        <v>0</v>
      </c>
      <c r="C45" s="10">
        <f>'Model inputs'!C32*'Model inputs'!U37</f>
        <v>1000</v>
      </c>
      <c r="D45" s="10">
        <f>'Model inputs'!D32*'Model inputs'!U37</f>
        <v>1000</v>
      </c>
      <c r="E45" s="10">
        <f>'Model inputs'!E32*'Model inputs'!U37</f>
        <v>1000</v>
      </c>
      <c r="F45" s="10">
        <f>'Model inputs'!F32*'Model inputs'!U37</f>
        <v>1000</v>
      </c>
      <c r="G45" s="10">
        <f>'Model inputs'!G32*'Model inputs'!U37</f>
        <v>1000</v>
      </c>
      <c r="H45" s="10">
        <f>'Model inputs'!H32*'Model inputs'!U37</f>
        <v>1000</v>
      </c>
      <c r="I45" s="10">
        <f>'Model inputs'!I32*'Model inputs'!U37</f>
        <v>1000</v>
      </c>
      <c r="J45" s="10">
        <f>'Model inputs'!J32*'Model inputs'!U37</f>
        <v>1000</v>
      </c>
      <c r="K45" s="10">
        <f>'Model inputs'!K32*'Model inputs'!U37</f>
        <v>1000</v>
      </c>
      <c r="L45" s="10">
        <f>'Model inputs'!L32*'Model inputs'!U37</f>
        <v>1000</v>
      </c>
      <c r="M45" s="10">
        <f>'Model inputs'!M32*'Model inputs'!U37</f>
        <v>1000</v>
      </c>
      <c r="N45" s="10">
        <f>'Model inputs'!N32*'Model inputs'!U37</f>
        <v>1000</v>
      </c>
      <c r="O45" s="10">
        <f>'Model inputs'!O32*'Model inputs'!U37</f>
        <v>1000</v>
      </c>
      <c r="P45" s="10">
        <f>'Model inputs'!P32*'Model inputs'!U37</f>
        <v>1000</v>
      </c>
      <c r="Q45" s="10">
        <f>'Model inputs'!Q32*'Model inputs'!U37</f>
        <v>1000</v>
      </c>
      <c r="R45" s="10">
        <f>'Model inputs'!R32*'Model inputs'!U37</f>
        <v>1000</v>
      </c>
      <c r="S45" s="10">
        <f>'Model inputs'!S32*'Model inputs'!U37</f>
        <v>1000</v>
      </c>
      <c r="T45" s="10">
        <f>'Model inputs'!T32*'Model inputs'!U37</f>
        <v>1000</v>
      </c>
    </row>
    <row r="46">
      <c r="A46" t="inlineStr" s="15">
        <is>
          <t xml:space="preserve">Cost of revenue</t>
        </is>
      </c>
      <c r="B46" s="9">
        <v>0</v>
      </c>
      <c r="C46" s="9">
        <f>'Model inputs'!C79+'Model inputs'!C73</f>
        <v>1700</v>
      </c>
      <c r="D46" s="9">
        <f>'Model inputs'!D79+'Model inputs'!D73</f>
        <v>1850.0000000000005</v>
      </c>
      <c r="E46" s="9">
        <f>'Model inputs'!E79+'Model inputs'!E73</f>
        <v>2015.0000000000005</v>
      </c>
      <c r="F46" s="9">
        <f>'Model inputs'!F79+'Model inputs'!F73</f>
        <v>2196.500000000001</v>
      </c>
      <c r="G46" s="9">
        <f>'Model inputs'!G79+'Model inputs'!G73</f>
        <v>2396.1500000000015</v>
      </c>
      <c r="H46" s="9">
        <f>'Model inputs'!H79+'Model inputs'!H73</f>
        <v>2615.7650000000017</v>
      </c>
      <c r="I46" s="9">
        <f>'Model inputs'!I79+'Model inputs'!I73</f>
        <v>2857.341500000002</v>
      </c>
      <c r="J46" s="9">
        <f>'Model inputs'!J79+'Model inputs'!J73</f>
        <v>3123.075650000002</v>
      </c>
      <c r="K46" s="9">
        <f>'Model inputs'!K79+'Model inputs'!K73</f>
        <v>3415.383215000003</v>
      </c>
      <c r="L46" s="9">
        <f>'Model inputs'!L79+'Model inputs'!L73</f>
        <v>3736.921536500003</v>
      </c>
      <c r="M46" s="9">
        <f>'Model inputs'!M79+'Model inputs'!M73</f>
        <v>4090.613690150004</v>
      </c>
      <c r="N46" s="9">
        <f>'Model inputs'!N79+'Model inputs'!N73</f>
        <v>4479.675059165005</v>
      </c>
      <c r="O46" s="9">
        <f>'Model inputs'!O79+'Model inputs'!O73</f>
        <v>4907.642565081505</v>
      </c>
      <c r="P46" s="9">
        <f>'Model inputs'!P79+'Model inputs'!P73</f>
        <v>5378.406821589656</v>
      </c>
      <c r="Q46" s="9">
        <f>'Model inputs'!Q79+'Model inputs'!Q73</f>
        <v>5896.247503748622</v>
      </c>
      <c r="R46" s="9">
        <f>'Model inputs'!R79+'Model inputs'!R73</f>
        <v>6465.872254123484</v>
      </c>
      <c r="S46" s="9">
        <f>'Model inputs'!S79+'Model inputs'!S73</f>
        <v>7092.459479535834</v>
      </c>
      <c r="T46" s="9">
        <f>'Model inputs'!T79+'Model inputs'!T73</f>
        <v>7781.705427489418</v>
      </c>
    </row>
    <row r="47">
      <c r="A47" t="inlineStr" s="15">
        <is>
          <t xml:space="preserve">Diagnosis cost per round · Repair cost per round · 18-month forecast</t>
        </is>
      </c>
      <c r="U47" s="10">
        <f>'Model inputs'!U65-'Model inputs'!U63*'Model inputs'!U57</f>
        <v>0.3799999999999999</v>
      </c>
    </row>
    <row r="48">
      <c r="A48" t="inlineStr" s="15">
        <is>
          <t xml:space="preserve">Extra round price · Revenue per team · Base · Base</t>
        </is>
      </c>
      <c r="U48" s="10">
        <f>2</f>
        <v>2</v>
      </c>
    </row>
    <row r="49">
      <c r="A49" t="inlineStr" s="15">
        <is>
          <t xml:space="preserve">Extra round price · Revenue per team · Growth · Growth</t>
        </is>
      </c>
      <c r="U49" s="10">
        <f>'Model inputs'!U48</f>
        <v>2</v>
      </c>
    </row>
    <row r="50">
      <c r="A50" t="inlineStr" s="15">
        <is>
          <t xml:space="preserve">Extra rounds per team · Revenue per team · Base · Base</t>
        </is>
      </c>
      <c r="U50" s="10">
        <f>0</f>
        <v>0</v>
      </c>
    </row>
    <row r="51">
      <c r="A51" t="inlineStr" s="15">
        <is>
          <t xml:space="preserve">Extra rounds per team · Revenue per team · Growth · Growth</t>
        </is>
      </c>
      <c r="U51" s="10">
        <f>'Model inputs'!U50</f>
        <v>0</v>
      </c>
    </row>
    <row r="52">
      <c r="A52" t="inlineStr" s="15">
        <is>
          <t xml:space="preserve">Founder payroll</t>
        </is>
      </c>
      <c r="B52" s="11">
        <f>IF('Model inputs'!B19="","",'Model inputs'!B19)</f>
        <v>0</v>
      </c>
      <c r="C52" s="11">
        <f>IF('Model inputs'!C19="","",'Model inputs'!C19)</f>
        <v>0</v>
      </c>
      <c r="D52" s="11">
        <f>IF('Model inputs'!D19="","",'Model inputs'!D19)</f>
        <v>0</v>
      </c>
      <c r="E52" s="11">
        <f>IF('Model inputs'!E19="","",'Model inputs'!E19)</f>
        <v>0</v>
      </c>
      <c r="F52" s="11">
        <f>IF('Model inputs'!F19="","",'Model inputs'!F19)</f>
        <v>0</v>
      </c>
      <c r="G52" s="11">
        <f>IF('Model inputs'!G19="","",'Model inputs'!G19)</f>
        <v>0</v>
      </c>
      <c r="H52" s="11">
        <f>IF('Model inputs'!H19="","",'Model inputs'!H19)</f>
        <v>0</v>
      </c>
      <c r="I52" s="11">
        <f>IF('Model inputs'!I19="","",'Model inputs'!I19)</f>
        <v>8000</v>
      </c>
      <c r="J52" s="11">
        <f>IF('Model inputs'!J19="","",'Model inputs'!J19)</f>
        <v>8000</v>
      </c>
      <c r="K52" s="11">
        <f>IF('Model inputs'!K19="","",'Model inputs'!K19)</f>
        <v>8000</v>
      </c>
      <c r="L52" s="11">
        <f>IF('Model inputs'!L19="","",'Model inputs'!L19)</f>
        <v>8000</v>
      </c>
      <c r="M52" s="11">
        <f>IF('Model inputs'!M19="","",'Model inputs'!M19)</f>
        <v>8000</v>
      </c>
      <c r="N52" s="11">
        <f>IF('Model inputs'!N19="","",'Model inputs'!N19)</f>
        <v>8000</v>
      </c>
      <c r="O52" s="11">
        <f>IF('Model inputs'!O19="","",'Model inputs'!O19)</f>
        <v>8000</v>
      </c>
      <c r="P52" s="11">
        <f>IF('Model inputs'!P19="","",'Model inputs'!P19)</f>
        <v>8000</v>
      </c>
      <c r="Q52" s="11">
        <f>IF('Model inputs'!Q19="","",'Model inputs'!Q19)</f>
        <v>8000</v>
      </c>
      <c r="R52" s="11">
        <f>IF('Model inputs'!R19="","",'Model inputs'!R19)</f>
        <v>8000</v>
      </c>
      <c r="S52" s="11">
        <f>IF('Model inputs'!S19="","",'Model inputs'!S19)</f>
        <v>8000</v>
      </c>
      <c r="T52" s="11">
        <f>IF('Model inputs'!T19="","",'Model inputs'!T19)</f>
        <v>8000</v>
      </c>
    </row>
    <row r="53" outlineLevel="1">
      <c r="A53" t="inlineStr" s="17">
        <is>
          <t xml:space="preserve">Founder payroll &gt; Placeholder founder 1</t>
        </is>
      </c>
      <c r="B53" s="9">
        <f>'Model inputs'!B15</f>
        <v>0</v>
      </c>
      <c r="C53" s="9">
        <f>IF(IF(IF(ISERROR(DATE(2026,10,1)&gt;=DATE(YEAR('Model inputs'!U67),MONTH('Model inputs'!U67),1)),DATE(2026,10,1)&gt;=DATE(YEAR('Model inputs'!U67),MONTH('Model inputs'!U67),1),IF(DATE(YEAR('Model inputs'!U67),MONTH('Model inputs'!U67),1)="","",DATE(2026,10,1)&gt;=DATE(YEAR('Model inputs'!U67),MONTH('Model inputs'!U67),1)))="",FALSE,IF(ISERROR(DATE(2026,10,1)&gt;=DATE(YEAR('Model inputs'!U67),MONTH('Model inputs'!U67),1)),DATE(2026,10,1)&gt;=DATE(YEAR('Model inputs'!U67),MONTH('Model inputs'!U67),1),IF(DATE(YEAR('Model inputs'!U67),MONTH('Model inputs'!U67),1)="","",DATE(2026,10,1)&gt;=DATE(YEAR('Model inputs'!U67),MONTH('Model inputs'!U67),1)))),IF('Model inputs'!U75="","",'Model inputs'!U75),0)</f>
        <v>0</v>
      </c>
      <c r="D53" s="9">
        <f>IF(IF(IF(ISERROR(DATE(2026,11,1)&gt;=DATE(YEAR('Model inputs'!U67),MONTH('Model inputs'!U67),1)),DATE(2026,11,1)&gt;=DATE(YEAR('Model inputs'!U67),MONTH('Model inputs'!U67),1),IF(DATE(YEAR('Model inputs'!U67),MONTH('Model inputs'!U67),1)="","",DATE(2026,11,1)&gt;=DATE(YEAR('Model inputs'!U67),MONTH('Model inputs'!U67),1)))="",FALSE,IF(ISERROR(DATE(2026,11,1)&gt;=DATE(YEAR('Model inputs'!U67),MONTH('Model inputs'!U67),1)),DATE(2026,11,1)&gt;=DATE(YEAR('Model inputs'!U67),MONTH('Model inputs'!U67),1),IF(DATE(YEAR('Model inputs'!U67),MONTH('Model inputs'!U67),1)="","",DATE(2026,11,1)&gt;=DATE(YEAR('Model inputs'!U67),MONTH('Model inputs'!U67),1)))),IF('Model inputs'!U75="","",'Model inputs'!U75),0)</f>
        <v>0</v>
      </c>
      <c r="E53" s="9">
        <f>IF(IF(IF(ISERROR(DATE(2026,12,1)&gt;=DATE(YEAR('Model inputs'!U67),MONTH('Model inputs'!U67),1)),DATE(2026,12,1)&gt;=DATE(YEAR('Model inputs'!U67),MONTH('Model inputs'!U67),1),IF(DATE(YEAR('Model inputs'!U67),MONTH('Model inputs'!U67),1)="","",DATE(2026,12,1)&gt;=DATE(YEAR('Model inputs'!U67),MONTH('Model inputs'!U67),1)))="",FALSE,IF(ISERROR(DATE(2026,12,1)&gt;=DATE(YEAR('Model inputs'!U67),MONTH('Model inputs'!U67),1)),DATE(2026,12,1)&gt;=DATE(YEAR('Model inputs'!U67),MONTH('Model inputs'!U67),1),IF(DATE(YEAR('Model inputs'!U67),MONTH('Model inputs'!U67),1)="","",DATE(2026,12,1)&gt;=DATE(YEAR('Model inputs'!U67),MONTH('Model inputs'!U67),1)))),IF('Model inputs'!U75="","",'Model inputs'!U75),0)</f>
        <v>0</v>
      </c>
      <c r="F53" s="9">
        <f>IF(IF(IF(ISERROR(DATE(2027,1,1)&gt;=DATE(YEAR('Model inputs'!U67),MONTH('Model inputs'!U67),1)),DATE(2027,1,1)&gt;=DATE(YEAR('Model inputs'!U67),MONTH('Model inputs'!U67),1),IF(DATE(YEAR('Model inputs'!U67),MONTH('Model inputs'!U67),1)="","",DATE(2027,1,1)&gt;=DATE(YEAR('Model inputs'!U67),MONTH('Model inputs'!U67),1)))="",FALSE,IF(ISERROR(DATE(2027,1,1)&gt;=DATE(YEAR('Model inputs'!U67),MONTH('Model inputs'!U67),1)),DATE(2027,1,1)&gt;=DATE(YEAR('Model inputs'!U67),MONTH('Model inputs'!U67),1),IF(DATE(YEAR('Model inputs'!U67),MONTH('Model inputs'!U67),1)="","",DATE(2027,1,1)&gt;=DATE(YEAR('Model inputs'!U67),MONTH('Model inputs'!U67),1)))),IF('Model inputs'!U75="","",'Model inputs'!U75),0)</f>
        <v>0</v>
      </c>
      <c r="G53" s="9">
        <f>IF(IF(IF(ISERROR(DATE(2027,2,1)&gt;=DATE(YEAR('Model inputs'!U67),MONTH('Model inputs'!U67),1)),DATE(2027,2,1)&gt;=DATE(YEAR('Model inputs'!U67),MONTH('Model inputs'!U67),1),IF(DATE(YEAR('Model inputs'!U67),MONTH('Model inputs'!U67),1)="","",DATE(2027,2,1)&gt;=DATE(YEAR('Model inputs'!U67),MONTH('Model inputs'!U67),1)))="",FALSE,IF(ISERROR(DATE(2027,2,1)&gt;=DATE(YEAR('Model inputs'!U67),MONTH('Model inputs'!U67),1)),DATE(2027,2,1)&gt;=DATE(YEAR('Model inputs'!U67),MONTH('Model inputs'!U67),1),IF(DATE(YEAR('Model inputs'!U67),MONTH('Model inputs'!U67),1)="","",DATE(2027,2,1)&gt;=DATE(YEAR('Model inputs'!U67),MONTH('Model inputs'!U67),1)))),IF('Model inputs'!U75="","",'Model inputs'!U75),0)</f>
        <v>0</v>
      </c>
      <c r="H53" s="9">
        <f>IF(IF(IF(ISERROR(DATE(2027,3,1)&gt;=DATE(YEAR('Model inputs'!U67),MONTH('Model inputs'!U67),1)),DATE(2027,3,1)&gt;=DATE(YEAR('Model inputs'!U67),MONTH('Model inputs'!U67),1),IF(DATE(YEAR('Model inputs'!U67),MONTH('Model inputs'!U67),1)="","",DATE(2027,3,1)&gt;=DATE(YEAR('Model inputs'!U67),MONTH('Model inputs'!U67),1)))="",FALSE,IF(ISERROR(DATE(2027,3,1)&gt;=DATE(YEAR('Model inputs'!U67),MONTH('Model inputs'!U67),1)),DATE(2027,3,1)&gt;=DATE(YEAR('Model inputs'!U67),MONTH('Model inputs'!U67),1),IF(DATE(YEAR('Model inputs'!U67),MONTH('Model inputs'!U67),1)="","",DATE(2027,3,1)&gt;=DATE(YEAR('Model inputs'!U67),MONTH('Model inputs'!U67),1)))),IF('Model inputs'!U75="","",'Model inputs'!U75),0)</f>
        <v>0</v>
      </c>
      <c r="I53" s="9">
        <f>IF(IF(IF(ISERROR(DATE(2027,4,1)&gt;=DATE(YEAR('Model inputs'!U67),MONTH('Model inputs'!U67),1)),DATE(2027,4,1)&gt;=DATE(YEAR('Model inputs'!U67),MONTH('Model inputs'!U67),1),IF(DATE(YEAR('Model inputs'!U67),MONTH('Model inputs'!U67),1)="","",DATE(2027,4,1)&gt;=DATE(YEAR('Model inputs'!U67),MONTH('Model inputs'!U67),1)))="",FALSE,IF(ISERROR(DATE(2027,4,1)&gt;=DATE(YEAR('Model inputs'!U67),MONTH('Model inputs'!U67),1)),DATE(2027,4,1)&gt;=DATE(YEAR('Model inputs'!U67),MONTH('Model inputs'!U67),1),IF(DATE(YEAR('Model inputs'!U67),MONTH('Model inputs'!U67),1)="","",DATE(2027,4,1)&gt;=DATE(YEAR('Model inputs'!U67),MONTH('Model inputs'!U67),1)))),IF('Model inputs'!U75="","",'Model inputs'!U75),0)</f>
        <v>2000</v>
      </c>
      <c r="J53" s="9">
        <f>IF(IF(IF(ISERROR(DATE(2027,5,1)&gt;=DATE(YEAR('Model inputs'!U67),MONTH('Model inputs'!U67),1)),DATE(2027,5,1)&gt;=DATE(YEAR('Model inputs'!U67),MONTH('Model inputs'!U67),1),IF(DATE(YEAR('Model inputs'!U67),MONTH('Model inputs'!U67),1)="","",DATE(2027,5,1)&gt;=DATE(YEAR('Model inputs'!U67),MONTH('Model inputs'!U67),1)))="",FALSE,IF(ISERROR(DATE(2027,5,1)&gt;=DATE(YEAR('Model inputs'!U67),MONTH('Model inputs'!U67),1)),DATE(2027,5,1)&gt;=DATE(YEAR('Model inputs'!U67),MONTH('Model inputs'!U67),1),IF(DATE(YEAR('Model inputs'!U67),MONTH('Model inputs'!U67),1)="","",DATE(2027,5,1)&gt;=DATE(YEAR('Model inputs'!U67),MONTH('Model inputs'!U67),1)))),IF('Model inputs'!U75="","",'Model inputs'!U75),0)</f>
        <v>2000</v>
      </c>
      <c r="K53" s="9">
        <f>IF(IF(IF(ISERROR(DATE(2027,6,1)&gt;=DATE(YEAR('Model inputs'!U67),MONTH('Model inputs'!U67),1)),DATE(2027,6,1)&gt;=DATE(YEAR('Model inputs'!U67),MONTH('Model inputs'!U67),1),IF(DATE(YEAR('Model inputs'!U67),MONTH('Model inputs'!U67),1)="","",DATE(2027,6,1)&gt;=DATE(YEAR('Model inputs'!U67),MONTH('Model inputs'!U67),1)))="",FALSE,IF(ISERROR(DATE(2027,6,1)&gt;=DATE(YEAR('Model inputs'!U67),MONTH('Model inputs'!U67),1)),DATE(2027,6,1)&gt;=DATE(YEAR('Model inputs'!U67),MONTH('Model inputs'!U67),1),IF(DATE(YEAR('Model inputs'!U67),MONTH('Model inputs'!U67),1)="","",DATE(2027,6,1)&gt;=DATE(YEAR('Model inputs'!U67),MONTH('Model inputs'!U67),1)))),IF('Model inputs'!U75="","",'Model inputs'!U75),0)</f>
        <v>2000</v>
      </c>
      <c r="L53" s="9">
        <f>IF(IF(IF(ISERROR(DATE(2027,7,1)&gt;=DATE(YEAR('Model inputs'!U67),MONTH('Model inputs'!U67),1)),DATE(2027,7,1)&gt;=DATE(YEAR('Model inputs'!U67),MONTH('Model inputs'!U67),1),IF(DATE(YEAR('Model inputs'!U67),MONTH('Model inputs'!U67),1)="","",DATE(2027,7,1)&gt;=DATE(YEAR('Model inputs'!U67),MONTH('Model inputs'!U67),1)))="",FALSE,IF(ISERROR(DATE(2027,7,1)&gt;=DATE(YEAR('Model inputs'!U67),MONTH('Model inputs'!U67),1)),DATE(2027,7,1)&gt;=DATE(YEAR('Model inputs'!U67),MONTH('Model inputs'!U67),1),IF(DATE(YEAR('Model inputs'!U67),MONTH('Model inputs'!U67),1)="","",DATE(2027,7,1)&gt;=DATE(YEAR('Model inputs'!U67),MONTH('Model inputs'!U67),1)))),IF('Model inputs'!U75="","",'Model inputs'!U75),0)</f>
        <v>2000</v>
      </c>
      <c r="M53" s="9">
        <f>IF(IF(IF(ISERROR(DATE(2027,8,1)&gt;=DATE(YEAR('Model inputs'!U67),MONTH('Model inputs'!U67),1)),DATE(2027,8,1)&gt;=DATE(YEAR('Model inputs'!U67),MONTH('Model inputs'!U67),1),IF(DATE(YEAR('Model inputs'!U67),MONTH('Model inputs'!U67),1)="","",DATE(2027,8,1)&gt;=DATE(YEAR('Model inputs'!U67),MONTH('Model inputs'!U67),1)))="",FALSE,IF(ISERROR(DATE(2027,8,1)&gt;=DATE(YEAR('Model inputs'!U67),MONTH('Model inputs'!U67),1)),DATE(2027,8,1)&gt;=DATE(YEAR('Model inputs'!U67),MONTH('Model inputs'!U67),1),IF(DATE(YEAR('Model inputs'!U67),MONTH('Model inputs'!U67),1)="","",DATE(2027,8,1)&gt;=DATE(YEAR('Model inputs'!U67),MONTH('Model inputs'!U67),1)))),IF('Model inputs'!U75="","",'Model inputs'!U75),0)</f>
        <v>2000</v>
      </c>
      <c r="N53" s="9">
        <f>IF(IF(IF(ISERROR(DATE(2027,9,1)&gt;=DATE(YEAR('Model inputs'!U67),MONTH('Model inputs'!U67),1)),DATE(2027,9,1)&gt;=DATE(YEAR('Model inputs'!U67),MONTH('Model inputs'!U67),1),IF(DATE(YEAR('Model inputs'!U67),MONTH('Model inputs'!U67),1)="","",DATE(2027,9,1)&gt;=DATE(YEAR('Model inputs'!U67),MONTH('Model inputs'!U67),1)))="",FALSE,IF(ISERROR(DATE(2027,9,1)&gt;=DATE(YEAR('Model inputs'!U67),MONTH('Model inputs'!U67),1)),DATE(2027,9,1)&gt;=DATE(YEAR('Model inputs'!U67),MONTH('Model inputs'!U67),1),IF(DATE(YEAR('Model inputs'!U67),MONTH('Model inputs'!U67),1)="","",DATE(2027,9,1)&gt;=DATE(YEAR('Model inputs'!U67),MONTH('Model inputs'!U67),1)))),IF('Model inputs'!U75="","",'Model inputs'!U75),0)</f>
        <v>2000</v>
      </c>
      <c r="O53" s="9">
        <f>IF(IF(IF(ISERROR(DATE(2027,10,1)&gt;=DATE(YEAR('Model inputs'!U67),MONTH('Model inputs'!U67),1)),DATE(2027,10,1)&gt;=DATE(YEAR('Model inputs'!U67),MONTH('Model inputs'!U67),1),IF(DATE(YEAR('Model inputs'!U67),MONTH('Model inputs'!U67),1)="","",DATE(2027,10,1)&gt;=DATE(YEAR('Model inputs'!U67),MONTH('Model inputs'!U67),1)))="",FALSE,IF(ISERROR(DATE(2027,10,1)&gt;=DATE(YEAR('Model inputs'!U67),MONTH('Model inputs'!U67),1)),DATE(2027,10,1)&gt;=DATE(YEAR('Model inputs'!U67),MONTH('Model inputs'!U67),1),IF(DATE(YEAR('Model inputs'!U67),MONTH('Model inputs'!U67),1)="","",DATE(2027,10,1)&gt;=DATE(YEAR('Model inputs'!U67),MONTH('Model inputs'!U67),1)))),IF('Model inputs'!U75="","",'Model inputs'!U75),0)</f>
        <v>2000</v>
      </c>
      <c r="P53" s="9">
        <f>IF(IF(IF(ISERROR(DATE(2027,11,1)&gt;=DATE(YEAR('Model inputs'!U67),MONTH('Model inputs'!U67),1)),DATE(2027,11,1)&gt;=DATE(YEAR('Model inputs'!U67),MONTH('Model inputs'!U67),1),IF(DATE(YEAR('Model inputs'!U67),MONTH('Model inputs'!U67),1)="","",DATE(2027,11,1)&gt;=DATE(YEAR('Model inputs'!U67),MONTH('Model inputs'!U67),1)))="",FALSE,IF(ISERROR(DATE(2027,11,1)&gt;=DATE(YEAR('Model inputs'!U67),MONTH('Model inputs'!U67),1)),DATE(2027,11,1)&gt;=DATE(YEAR('Model inputs'!U67),MONTH('Model inputs'!U67),1),IF(DATE(YEAR('Model inputs'!U67),MONTH('Model inputs'!U67),1)="","",DATE(2027,11,1)&gt;=DATE(YEAR('Model inputs'!U67),MONTH('Model inputs'!U67),1)))),IF('Model inputs'!U75="","",'Model inputs'!U75),0)</f>
        <v>2000</v>
      </c>
      <c r="Q53" s="9">
        <f>IF(IF(IF(ISERROR(DATE(2027,12,1)&gt;=DATE(YEAR('Model inputs'!U67),MONTH('Model inputs'!U67),1)),DATE(2027,12,1)&gt;=DATE(YEAR('Model inputs'!U67),MONTH('Model inputs'!U67),1),IF(DATE(YEAR('Model inputs'!U67),MONTH('Model inputs'!U67),1)="","",DATE(2027,12,1)&gt;=DATE(YEAR('Model inputs'!U67),MONTH('Model inputs'!U67),1)))="",FALSE,IF(ISERROR(DATE(2027,12,1)&gt;=DATE(YEAR('Model inputs'!U67),MONTH('Model inputs'!U67),1)),DATE(2027,12,1)&gt;=DATE(YEAR('Model inputs'!U67),MONTH('Model inputs'!U67),1),IF(DATE(YEAR('Model inputs'!U67),MONTH('Model inputs'!U67),1)="","",DATE(2027,12,1)&gt;=DATE(YEAR('Model inputs'!U67),MONTH('Model inputs'!U67),1)))),IF('Model inputs'!U75="","",'Model inputs'!U75),0)</f>
        <v>2000</v>
      </c>
      <c r="R53" s="9">
        <f>IF(IF(IF(ISERROR(DATE(2028,1,1)&gt;=DATE(YEAR('Model inputs'!U67),MONTH('Model inputs'!U67),1)),DATE(2028,1,1)&gt;=DATE(YEAR('Model inputs'!U67),MONTH('Model inputs'!U67),1),IF(DATE(YEAR('Model inputs'!U67),MONTH('Model inputs'!U67),1)="","",DATE(2028,1,1)&gt;=DATE(YEAR('Model inputs'!U67),MONTH('Model inputs'!U67),1)))="",FALSE,IF(ISERROR(DATE(2028,1,1)&gt;=DATE(YEAR('Model inputs'!U67),MONTH('Model inputs'!U67),1)),DATE(2028,1,1)&gt;=DATE(YEAR('Model inputs'!U67),MONTH('Model inputs'!U67),1),IF(DATE(YEAR('Model inputs'!U67),MONTH('Model inputs'!U67),1)="","",DATE(2028,1,1)&gt;=DATE(YEAR('Model inputs'!U67),MONTH('Model inputs'!U67),1)))),IF('Model inputs'!U75="","",'Model inputs'!U75),0)</f>
        <v>2000</v>
      </c>
      <c r="S53" s="9">
        <f>IF(IF(IF(ISERROR(DATE(2028,2,1)&gt;=DATE(YEAR('Model inputs'!U67),MONTH('Model inputs'!U67),1)),DATE(2028,2,1)&gt;=DATE(YEAR('Model inputs'!U67),MONTH('Model inputs'!U67),1),IF(DATE(YEAR('Model inputs'!U67),MONTH('Model inputs'!U67),1)="","",DATE(2028,2,1)&gt;=DATE(YEAR('Model inputs'!U67),MONTH('Model inputs'!U67),1)))="",FALSE,IF(ISERROR(DATE(2028,2,1)&gt;=DATE(YEAR('Model inputs'!U67),MONTH('Model inputs'!U67),1)),DATE(2028,2,1)&gt;=DATE(YEAR('Model inputs'!U67),MONTH('Model inputs'!U67),1),IF(DATE(YEAR('Model inputs'!U67),MONTH('Model inputs'!U67),1)="","",DATE(2028,2,1)&gt;=DATE(YEAR('Model inputs'!U67),MONTH('Model inputs'!U67),1)))),IF('Model inputs'!U75="","",'Model inputs'!U75),0)</f>
        <v>2000</v>
      </c>
      <c r="T53" s="9">
        <f>IF(IF(IF(ISERROR(DATE(2028,3,1)&gt;=DATE(YEAR('Model inputs'!U67),MONTH('Model inputs'!U67),1)),DATE(2028,3,1)&gt;=DATE(YEAR('Model inputs'!U67),MONTH('Model inputs'!U67),1),IF(DATE(YEAR('Model inputs'!U67),MONTH('Model inputs'!U67),1)="","",DATE(2028,3,1)&gt;=DATE(YEAR('Model inputs'!U67),MONTH('Model inputs'!U67),1)))="",FALSE,IF(ISERROR(DATE(2028,3,1)&gt;=DATE(YEAR('Model inputs'!U67),MONTH('Model inputs'!U67),1)),DATE(2028,3,1)&gt;=DATE(YEAR('Model inputs'!U67),MONTH('Model inputs'!U67),1),IF(DATE(YEAR('Model inputs'!U67),MONTH('Model inputs'!U67),1)="","",DATE(2028,3,1)&gt;=DATE(YEAR('Model inputs'!U67),MONTH('Model inputs'!U67),1)))),IF('Model inputs'!U75="","",'Model inputs'!U75),0)</f>
        <v>2000</v>
      </c>
    </row>
    <row r="54" outlineLevel="1">
      <c r="A54" t="inlineStr" s="17">
        <is>
          <t xml:space="preserve">Founder payroll &gt; Placeholder founder 2</t>
        </is>
      </c>
      <c r="B54" s="9">
        <f>'Model inputs'!B16</f>
        <v>0</v>
      </c>
      <c r="C54" s="9">
        <f>IF(IF(IF(ISERROR(DATE(2026,10,1)&gt;=DATE(YEAR('Model inputs'!U68),MONTH('Model inputs'!U68),1)),DATE(2026,10,1)&gt;=DATE(YEAR('Model inputs'!U68),MONTH('Model inputs'!U68),1),IF(DATE(YEAR('Model inputs'!U68),MONTH('Model inputs'!U68),1)="","",DATE(2026,10,1)&gt;=DATE(YEAR('Model inputs'!U68),MONTH('Model inputs'!U68),1)))="",FALSE,IF(ISERROR(DATE(2026,10,1)&gt;=DATE(YEAR('Model inputs'!U68),MONTH('Model inputs'!U68),1)),DATE(2026,10,1)&gt;=DATE(YEAR('Model inputs'!U68),MONTH('Model inputs'!U68),1),IF(DATE(YEAR('Model inputs'!U68),MONTH('Model inputs'!U68),1)="","",DATE(2026,10,1)&gt;=DATE(YEAR('Model inputs'!U68),MONTH('Model inputs'!U68),1)))),IF('Model inputs'!U76="","",'Model inputs'!U76),0)</f>
        <v>0</v>
      </c>
      <c r="D54" s="9">
        <f>IF(IF(IF(ISERROR(DATE(2026,11,1)&gt;=DATE(YEAR('Model inputs'!U68),MONTH('Model inputs'!U68),1)),DATE(2026,11,1)&gt;=DATE(YEAR('Model inputs'!U68),MONTH('Model inputs'!U68),1),IF(DATE(YEAR('Model inputs'!U68),MONTH('Model inputs'!U68),1)="","",DATE(2026,11,1)&gt;=DATE(YEAR('Model inputs'!U68),MONTH('Model inputs'!U68),1)))="",FALSE,IF(ISERROR(DATE(2026,11,1)&gt;=DATE(YEAR('Model inputs'!U68),MONTH('Model inputs'!U68),1)),DATE(2026,11,1)&gt;=DATE(YEAR('Model inputs'!U68),MONTH('Model inputs'!U68),1),IF(DATE(YEAR('Model inputs'!U68),MONTH('Model inputs'!U68),1)="","",DATE(2026,11,1)&gt;=DATE(YEAR('Model inputs'!U68),MONTH('Model inputs'!U68),1)))),IF('Model inputs'!U76="","",'Model inputs'!U76),0)</f>
        <v>0</v>
      </c>
      <c r="E54" s="9">
        <f>IF(IF(IF(ISERROR(DATE(2026,12,1)&gt;=DATE(YEAR('Model inputs'!U68),MONTH('Model inputs'!U68),1)),DATE(2026,12,1)&gt;=DATE(YEAR('Model inputs'!U68),MONTH('Model inputs'!U68),1),IF(DATE(YEAR('Model inputs'!U68),MONTH('Model inputs'!U68),1)="","",DATE(2026,12,1)&gt;=DATE(YEAR('Model inputs'!U68),MONTH('Model inputs'!U68),1)))="",FALSE,IF(ISERROR(DATE(2026,12,1)&gt;=DATE(YEAR('Model inputs'!U68),MONTH('Model inputs'!U68),1)),DATE(2026,12,1)&gt;=DATE(YEAR('Model inputs'!U68),MONTH('Model inputs'!U68),1),IF(DATE(YEAR('Model inputs'!U68),MONTH('Model inputs'!U68),1)="","",DATE(2026,12,1)&gt;=DATE(YEAR('Model inputs'!U68),MONTH('Model inputs'!U68),1)))),IF('Model inputs'!U76="","",'Model inputs'!U76),0)</f>
        <v>0</v>
      </c>
      <c r="F54" s="9">
        <f>IF(IF(IF(ISERROR(DATE(2027,1,1)&gt;=DATE(YEAR('Model inputs'!U68),MONTH('Model inputs'!U68),1)),DATE(2027,1,1)&gt;=DATE(YEAR('Model inputs'!U68),MONTH('Model inputs'!U68),1),IF(DATE(YEAR('Model inputs'!U68),MONTH('Model inputs'!U68),1)="","",DATE(2027,1,1)&gt;=DATE(YEAR('Model inputs'!U68),MONTH('Model inputs'!U68),1)))="",FALSE,IF(ISERROR(DATE(2027,1,1)&gt;=DATE(YEAR('Model inputs'!U68),MONTH('Model inputs'!U68),1)),DATE(2027,1,1)&gt;=DATE(YEAR('Model inputs'!U68),MONTH('Model inputs'!U68),1),IF(DATE(YEAR('Model inputs'!U68),MONTH('Model inputs'!U68),1)="","",DATE(2027,1,1)&gt;=DATE(YEAR('Model inputs'!U68),MONTH('Model inputs'!U68),1)))),IF('Model inputs'!U76="","",'Model inputs'!U76),0)</f>
        <v>0</v>
      </c>
      <c r="G54" s="9">
        <f>IF(IF(IF(ISERROR(DATE(2027,2,1)&gt;=DATE(YEAR('Model inputs'!U68),MONTH('Model inputs'!U68),1)),DATE(2027,2,1)&gt;=DATE(YEAR('Model inputs'!U68),MONTH('Model inputs'!U68),1),IF(DATE(YEAR('Model inputs'!U68),MONTH('Model inputs'!U68),1)="","",DATE(2027,2,1)&gt;=DATE(YEAR('Model inputs'!U68),MONTH('Model inputs'!U68),1)))="",FALSE,IF(ISERROR(DATE(2027,2,1)&gt;=DATE(YEAR('Model inputs'!U68),MONTH('Model inputs'!U68),1)),DATE(2027,2,1)&gt;=DATE(YEAR('Model inputs'!U68),MONTH('Model inputs'!U68),1),IF(DATE(YEAR('Model inputs'!U68),MONTH('Model inputs'!U68),1)="","",DATE(2027,2,1)&gt;=DATE(YEAR('Model inputs'!U68),MONTH('Model inputs'!U68),1)))),IF('Model inputs'!U76="","",'Model inputs'!U76),0)</f>
        <v>0</v>
      </c>
      <c r="H54" s="9">
        <f>IF(IF(IF(ISERROR(DATE(2027,3,1)&gt;=DATE(YEAR('Model inputs'!U68),MONTH('Model inputs'!U68),1)),DATE(2027,3,1)&gt;=DATE(YEAR('Model inputs'!U68),MONTH('Model inputs'!U68),1),IF(DATE(YEAR('Model inputs'!U68),MONTH('Model inputs'!U68),1)="","",DATE(2027,3,1)&gt;=DATE(YEAR('Model inputs'!U68),MONTH('Model inputs'!U68),1)))="",FALSE,IF(ISERROR(DATE(2027,3,1)&gt;=DATE(YEAR('Model inputs'!U68),MONTH('Model inputs'!U68),1)),DATE(2027,3,1)&gt;=DATE(YEAR('Model inputs'!U68),MONTH('Model inputs'!U68),1),IF(DATE(YEAR('Model inputs'!U68),MONTH('Model inputs'!U68),1)="","",DATE(2027,3,1)&gt;=DATE(YEAR('Model inputs'!U68),MONTH('Model inputs'!U68),1)))),IF('Model inputs'!U76="","",'Model inputs'!U76),0)</f>
        <v>0</v>
      </c>
      <c r="I54" s="9">
        <f>IF(IF(IF(ISERROR(DATE(2027,4,1)&gt;=DATE(YEAR('Model inputs'!U68),MONTH('Model inputs'!U68),1)),DATE(2027,4,1)&gt;=DATE(YEAR('Model inputs'!U68),MONTH('Model inputs'!U68),1),IF(DATE(YEAR('Model inputs'!U68),MONTH('Model inputs'!U68),1)="","",DATE(2027,4,1)&gt;=DATE(YEAR('Model inputs'!U68),MONTH('Model inputs'!U68),1)))="",FALSE,IF(ISERROR(DATE(2027,4,1)&gt;=DATE(YEAR('Model inputs'!U68),MONTH('Model inputs'!U68),1)),DATE(2027,4,1)&gt;=DATE(YEAR('Model inputs'!U68),MONTH('Model inputs'!U68),1),IF(DATE(YEAR('Model inputs'!U68),MONTH('Model inputs'!U68),1)="","",DATE(2027,4,1)&gt;=DATE(YEAR('Model inputs'!U68),MONTH('Model inputs'!U68),1)))),IF('Model inputs'!U76="","",'Model inputs'!U76),0)</f>
        <v>2000</v>
      </c>
      <c r="J54" s="9">
        <f>IF(IF(IF(ISERROR(DATE(2027,5,1)&gt;=DATE(YEAR('Model inputs'!U68),MONTH('Model inputs'!U68),1)),DATE(2027,5,1)&gt;=DATE(YEAR('Model inputs'!U68),MONTH('Model inputs'!U68),1),IF(DATE(YEAR('Model inputs'!U68),MONTH('Model inputs'!U68),1)="","",DATE(2027,5,1)&gt;=DATE(YEAR('Model inputs'!U68),MONTH('Model inputs'!U68),1)))="",FALSE,IF(ISERROR(DATE(2027,5,1)&gt;=DATE(YEAR('Model inputs'!U68),MONTH('Model inputs'!U68),1)),DATE(2027,5,1)&gt;=DATE(YEAR('Model inputs'!U68),MONTH('Model inputs'!U68),1),IF(DATE(YEAR('Model inputs'!U68),MONTH('Model inputs'!U68),1)="","",DATE(2027,5,1)&gt;=DATE(YEAR('Model inputs'!U68),MONTH('Model inputs'!U68),1)))),IF('Model inputs'!U76="","",'Model inputs'!U76),0)</f>
        <v>2000</v>
      </c>
      <c r="K54" s="9">
        <f>IF(IF(IF(ISERROR(DATE(2027,6,1)&gt;=DATE(YEAR('Model inputs'!U68),MONTH('Model inputs'!U68),1)),DATE(2027,6,1)&gt;=DATE(YEAR('Model inputs'!U68),MONTH('Model inputs'!U68),1),IF(DATE(YEAR('Model inputs'!U68),MONTH('Model inputs'!U68),1)="","",DATE(2027,6,1)&gt;=DATE(YEAR('Model inputs'!U68),MONTH('Model inputs'!U68),1)))="",FALSE,IF(ISERROR(DATE(2027,6,1)&gt;=DATE(YEAR('Model inputs'!U68),MONTH('Model inputs'!U68),1)),DATE(2027,6,1)&gt;=DATE(YEAR('Model inputs'!U68),MONTH('Model inputs'!U68),1),IF(DATE(YEAR('Model inputs'!U68),MONTH('Model inputs'!U68),1)="","",DATE(2027,6,1)&gt;=DATE(YEAR('Model inputs'!U68),MONTH('Model inputs'!U68),1)))),IF('Model inputs'!U76="","",'Model inputs'!U76),0)</f>
        <v>2000</v>
      </c>
      <c r="L54" s="9">
        <f>IF(IF(IF(ISERROR(DATE(2027,7,1)&gt;=DATE(YEAR('Model inputs'!U68),MONTH('Model inputs'!U68),1)),DATE(2027,7,1)&gt;=DATE(YEAR('Model inputs'!U68),MONTH('Model inputs'!U68),1),IF(DATE(YEAR('Model inputs'!U68),MONTH('Model inputs'!U68),1)="","",DATE(2027,7,1)&gt;=DATE(YEAR('Model inputs'!U68),MONTH('Model inputs'!U68),1)))="",FALSE,IF(ISERROR(DATE(2027,7,1)&gt;=DATE(YEAR('Model inputs'!U68),MONTH('Model inputs'!U68),1)),DATE(2027,7,1)&gt;=DATE(YEAR('Model inputs'!U68),MONTH('Model inputs'!U68),1),IF(DATE(YEAR('Model inputs'!U68),MONTH('Model inputs'!U68),1)="","",DATE(2027,7,1)&gt;=DATE(YEAR('Model inputs'!U68),MONTH('Model inputs'!U68),1)))),IF('Model inputs'!U76="","",'Model inputs'!U76),0)</f>
        <v>2000</v>
      </c>
      <c r="M54" s="9">
        <f>IF(IF(IF(ISERROR(DATE(2027,8,1)&gt;=DATE(YEAR('Model inputs'!U68),MONTH('Model inputs'!U68),1)),DATE(2027,8,1)&gt;=DATE(YEAR('Model inputs'!U68),MONTH('Model inputs'!U68),1),IF(DATE(YEAR('Model inputs'!U68),MONTH('Model inputs'!U68),1)="","",DATE(2027,8,1)&gt;=DATE(YEAR('Model inputs'!U68),MONTH('Model inputs'!U68),1)))="",FALSE,IF(ISERROR(DATE(2027,8,1)&gt;=DATE(YEAR('Model inputs'!U68),MONTH('Model inputs'!U68),1)),DATE(2027,8,1)&gt;=DATE(YEAR('Model inputs'!U68),MONTH('Model inputs'!U68),1),IF(DATE(YEAR('Model inputs'!U68),MONTH('Model inputs'!U68),1)="","",DATE(2027,8,1)&gt;=DATE(YEAR('Model inputs'!U68),MONTH('Model inputs'!U68),1)))),IF('Model inputs'!U76="","",'Model inputs'!U76),0)</f>
        <v>2000</v>
      </c>
      <c r="N54" s="9">
        <f>IF(IF(IF(ISERROR(DATE(2027,9,1)&gt;=DATE(YEAR('Model inputs'!U68),MONTH('Model inputs'!U68),1)),DATE(2027,9,1)&gt;=DATE(YEAR('Model inputs'!U68),MONTH('Model inputs'!U68),1),IF(DATE(YEAR('Model inputs'!U68),MONTH('Model inputs'!U68),1)="","",DATE(2027,9,1)&gt;=DATE(YEAR('Model inputs'!U68),MONTH('Model inputs'!U68),1)))="",FALSE,IF(ISERROR(DATE(2027,9,1)&gt;=DATE(YEAR('Model inputs'!U68),MONTH('Model inputs'!U68),1)),DATE(2027,9,1)&gt;=DATE(YEAR('Model inputs'!U68),MONTH('Model inputs'!U68),1),IF(DATE(YEAR('Model inputs'!U68),MONTH('Model inputs'!U68),1)="","",DATE(2027,9,1)&gt;=DATE(YEAR('Model inputs'!U68),MONTH('Model inputs'!U68),1)))),IF('Model inputs'!U76="","",'Model inputs'!U76),0)</f>
        <v>2000</v>
      </c>
      <c r="O54" s="9">
        <f>IF(IF(IF(ISERROR(DATE(2027,10,1)&gt;=DATE(YEAR('Model inputs'!U68),MONTH('Model inputs'!U68),1)),DATE(2027,10,1)&gt;=DATE(YEAR('Model inputs'!U68),MONTH('Model inputs'!U68),1),IF(DATE(YEAR('Model inputs'!U68),MONTH('Model inputs'!U68),1)="","",DATE(2027,10,1)&gt;=DATE(YEAR('Model inputs'!U68),MONTH('Model inputs'!U68),1)))="",FALSE,IF(ISERROR(DATE(2027,10,1)&gt;=DATE(YEAR('Model inputs'!U68),MONTH('Model inputs'!U68),1)),DATE(2027,10,1)&gt;=DATE(YEAR('Model inputs'!U68),MONTH('Model inputs'!U68),1),IF(DATE(YEAR('Model inputs'!U68),MONTH('Model inputs'!U68),1)="","",DATE(2027,10,1)&gt;=DATE(YEAR('Model inputs'!U68),MONTH('Model inputs'!U68),1)))),IF('Model inputs'!U76="","",'Model inputs'!U76),0)</f>
        <v>2000</v>
      </c>
      <c r="P54" s="9">
        <f>IF(IF(IF(ISERROR(DATE(2027,11,1)&gt;=DATE(YEAR('Model inputs'!U68),MONTH('Model inputs'!U68),1)),DATE(2027,11,1)&gt;=DATE(YEAR('Model inputs'!U68),MONTH('Model inputs'!U68),1),IF(DATE(YEAR('Model inputs'!U68),MONTH('Model inputs'!U68),1)="","",DATE(2027,11,1)&gt;=DATE(YEAR('Model inputs'!U68),MONTH('Model inputs'!U68),1)))="",FALSE,IF(ISERROR(DATE(2027,11,1)&gt;=DATE(YEAR('Model inputs'!U68),MONTH('Model inputs'!U68),1)),DATE(2027,11,1)&gt;=DATE(YEAR('Model inputs'!U68),MONTH('Model inputs'!U68),1),IF(DATE(YEAR('Model inputs'!U68),MONTH('Model inputs'!U68),1)="","",DATE(2027,11,1)&gt;=DATE(YEAR('Model inputs'!U68),MONTH('Model inputs'!U68),1)))),IF('Model inputs'!U76="","",'Model inputs'!U76),0)</f>
        <v>2000</v>
      </c>
      <c r="Q54" s="9">
        <f>IF(IF(IF(ISERROR(DATE(2027,12,1)&gt;=DATE(YEAR('Model inputs'!U68),MONTH('Model inputs'!U68),1)),DATE(2027,12,1)&gt;=DATE(YEAR('Model inputs'!U68),MONTH('Model inputs'!U68),1),IF(DATE(YEAR('Model inputs'!U68),MONTH('Model inputs'!U68),1)="","",DATE(2027,12,1)&gt;=DATE(YEAR('Model inputs'!U68),MONTH('Model inputs'!U68),1)))="",FALSE,IF(ISERROR(DATE(2027,12,1)&gt;=DATE(YEAR('Model inputs'!U68),MONTH('Model inputs'!U68),1)),DATE(2027,12,1)&gt;=DATE(YEAR('Model inputs'!U68),MONTH('Model inputs'!U68),1),IF(DATE(YEAR('Model inputs'!U68),MONTH('Model inputs'!U68),1)="","",DATE(2027,12,1)&gt;=DATE(YEAR('Model inputs'!U68),MONTH('Model inputs'!U68),1)))),IF('Model inputs'!U76="","",'Model inputs'!U76),0)</f>
        <v>2000</v>
      </c>
      <c r="R54" s="9">
        <f>IF(IF(IF(ISERROR(DATE(2028,1,1)&gt;=DATE(YEAR('Model inputs'!U68),MONTH('Model inputs'!U68),1)),DATE(2028,1,1)&gt;=DATE(YEAR('Model inputs'!U68),MONTH('Model inputs'!U68),1),IF(DATE(YEAR('Model inputs'!U68),MONTH('Model inputs'!U68),1)="","",DATE(2028,1,1)&gt;=DATE(YEAR('Model inputs'!U68),MONTH('Model inputs'!U68),1)))="",FALSE,IF(ISERROR(DATE(2028,1,1)&gt;=DATE(YEAR('Model inputs'!U68),MONTH('Model inputs'!U68),1)),DATE(2028,1,1)&gt;=DATE(YEAR('Model inputs'!U68),MONTH('Model inputs'!U68),1),IF(DATE(YEAR('Model inputs'!U68),MONTH('Model inputs'!U68),1)="","",DATE(2028,1,1)&gt;=DATE(YEAR('Model inputs'!U68),MONTH('Model inputs'!U68),1)))),IF('Model inputs'!U76="","",'Model inputs'!U76),0)</f>
        <v>2000</v>
      </c>
      <c r="S54" s="9">
        <f>IF(IF(IF(ISERROR(DATE(2028,2,1)&gt;=DATE(YEAR('Model inputs'!U68),MONTH('Model inputs'!U68),1)),DATE(2028,2,1)&gt;=DATE(YEAR('Model inputs'!U68),MONTH('Model inputs'!U68),1),IF(DATE(YEAR('Model inputs'!U68),MONTH('Model inputs'!U68),1)="","",DATE(2028,2,1)&gt;=DATE(YEAR('Model inputs'!U68),MONTH('Model inputs'!U68),1)))="",FALSE,IF(ISERROR(DATE(2028,2,1)&gt;=DATE(YEAR('Model inputs'!U68),MONTH('Model inputs'!U68),1)),DATE(2028,2,1)&gt;=DATE(YEAR('Model inputs'!U68),MONTH('Model inputs'!U68),1),IF(DATE(YEAR('Model inputs'!U68),MONTH('Model inputs'!U68),1)="","",DATE(2028,2,1)&gt;=DATE(YEAR('Model inputs'!U68),MONTH('Model inputs'!U68),1)))),IF('Model inputs'!U76="","",'Model inputs'!U76),0)</f>
        <v>2000</v>
      </c>
      <c r="T54" s="9">
        <f>IF(IF(IF(ISERROR(DATE(2028,3,1)&gt;=DATE(YEAR('Model inputs'!U68),MONTH('Model inputs'!U68),1)),DATE(2028,3,1)&gt;=DATE(YEAR('Model inputs'!U68),MONTH('Model inputs'!U68),1),IF(DATE(YEAR('Model inputs'!U68),MONTH('Model inputs'!U68),1)="","",DATE(2028,3,1)&gt;=DATE(YEAR('Model inputs'!U68),MONTH('Model inputs'!U68),1)))="",FALSE,IF(ISERROR(DATE(2028,3,1)&gt;=DATE(YEAR('Model inputs'!U68),MONTH('Model inputs'!U68),1)),DATE(2028,3,1)&gt;=DATE(YEAR('Model inputs'!U68),MONTH('Model inputs'!U68),1),IF(DATE(YEAR('Model inputs'!U68),MONTH('Model inputs'!U68),1)="","",DATE(2028,3,1)&gt;=DATE(YEAR('Model inputs'!U68),MONTH('Model inputs'!U68),1)))),IF('Model inputs'!U76="","",'Model inputs'!U76),0)</f>
        <v>2000</v>
      </c>
    </row>
    <row r="55" outlineLevel="1">
      <c r="A55" t="inlineStr" s="17">
        <is>
          <t xml:space="preserve">Founder payroll &gt; Placeholder founder 3</t>
        </is>
      </c>
      <c r="B55" s="9">
        <f>'Model inputs'!B17</f>
        <v>0</v>
      </c>
      <c r="C55" s="9">
        <f>IF(IF(IF(ISERROR(DATE(2026,10,1)&gt;=DATE(YEAR('Model inputs'!U69),MONTH('Model inputs'!U69),1)),DATE(2026,10,1)&gt;=DATE(YEAR('Model inputs'!U69),MONTH('Model inputs'!U69),1),IF(DATE(YEAR('Model inputs'!U69),MONTH('Model inputs'!U69),1)="","",DATE(2026,10,1)&gt;=DATE(YEAR('Model inputs'!U69),MONTH('Model inputs'!U69),1)))="",FALSE,IF(ISERROR(DATE(2026,10,1)&gt;=DATE(YEAR('Model inputs'!U69),MONTH('Model inputs'!U69),1)),DATE(2026,10,1)&gt;=DATE(YEAR('Model inputs'!U69),MONTH('Model inputs'!U69),1),IF(DATE(YEAR('Model inputs'!U69),MONTH('Model inputs'!U69),1)="","",DATE(2026,10,1)&gt;=DATE(YEAR('Model inputs'!U69),MONTH('Model inputs'!U69),1)))),IF('Model inputs'!U77="","",'Model inputs'!U77),0)</f>
        <v>0</v>
      </c>
      <c r="D55" s="9">
        <f>IF(IF(IF(ISERROR(DATE(2026,11,1)&gt;=DATE(YEAR('Model inputs'!U69),MONTH('Model inputs'!U69),1)),DATE(2026,11,1)&gt;=DATE(YEAR('Model inputs'!U69),MONTH('Model inputs'!U69),1),IF(DATE(YEAR('Model inputs'!U69),MONTH('Model inputs'!U69),1)="","",DATE(2026,11,1)&gt;=DATE(YEAR('Model inputs'!U69),MONTH('Model inputs'!U69),1)))="",FALSE,IF(ISERROR(DATE(2026,11,1)&gt;=DATE(YEAR('Model inputs'!U69),MONTH('Model inputs'!U69),1)),DATE(2026,11,1)&gt;=DATE(YEAR('Model inputs'!U69),MONTH('Model inputs'!U69),1),IF(DATE(YEAR('Model inputs'!U69),MONTH('Model inputs'!U69),1)="","",DATE(2026,11,1)&gt;=DATE(YEAR('Model inputs'!U69),MONTH('Model inputs'!U69),1)))),IF('Model inputs'!U77="","",'Model inputs'!U77),0)</f>
        <v>0</v>
      </c>
      <c r="E55" s="9">
        <f>IF(IF(IF(ISERROR(DATE(2026,12,1)&gt;=DATE(YEAR('Model inputs'!U69),MONTH('Model inputs'!U69),1)),DATE(2026,12,1)&gt;=DATE(YEAR('Model inputs'!U69),MONTH('Model inputs'!U69),1),IF(DATE(YEAR('Model inputs'!U69),MONTH('Model inputs'!U69),1)="","",DATE(2026,12,1)&gt;=DATE(YEAR('Model inputs'!U69),MONTH('Model inputs'!U69),1)))="",FALSE,IF(ISERROR(DATE(2026,12,1)&gt;=DATE(YEAR('Model inputs'!U69),MONTH('Model inputs'!U69),1)),DATE(2026,12,1)&gt;=DATE(YEAR('Model inputs'!U69),MONTH('Model inputs'!U69),1),IF(DATE(YEAR('Model inputs'!U69),MONTH('Model inputs'!U69),1)="","",DATE(2026,12,1)&gt;=DATE(YEAR('Model inputs'!U69),MONTH('Model inputs'!U69),1)))),IF('Model inputs'!U77="","",'Model inputs'!U77),0)</f>
        <v>0</v>
      </c>
      <c r="F55" s="9">
        <f>IF(IF(IF(ISERROR(DATE(2027,1,1)&gt;=DATE(YEAR('Model inputs'!U69),MONTH('Model inputs'!U69),1)),DATE(2027,1,1)&gt;=DATE(YEAR('Model inputs'!U69),MONTH('Model inputs'!U69),1),IF(DATE(YEAR('Model inputs'!U69),MONTH('Model inputs'!U69),1)="","",DATE(2027,1,1)&gt;=DATE(YEAR('Model inputs'!U69),MONTH('Model inputs'!U69),1)))="",FALSE,IF(ISERROR(DATE(2027,1,1)&gt;=DATE(YEAR('Model inputs'!U69),MONTH('Model inputs'!U69),1)),DATE(2027,1,1)&gt;=DATE(YEAR('Model inputs'!U69),MONTH('Model inputs'!U69),1),IF(DATE(YEAR('Model inputs'!U69),MONTH('Model inputs'!U69),1)="","",DATE(2027,1,1)&gt;=DATE(YEAR('Model inputs'!U69),MONTH('Model inputs'!U69),1)))),IF('Model inputs'!U77="","",'Model inputs'!U77),0)</f>
        <v>0</v>
      </c>
      <c r="G55" s="9">
        <f>IF(IF(IF(ISERROR(DATE(2027,2,1)&gt;=DATE(YEAR('Model inputs'!U69),MONTH('Model inputs'!U69),1)),DATE(2027,2,1)&gt;=DATE(YEAR('Model inputs'!U69),MONTH('Model inputs'!U69),1),IF(DATE(YEAR('Model inputs'!U69),MONTH('Model inputs'!U69),1)="","",DATE(2027,2,1)&gt;=DATE(YEAR('Model inputs'!U69),MONTH('Model inputs'!U69),1)))="",FALSE,IF(ISERROR(DATE(2027,2,1)&gt;=DATE(YEAR('Model inputs'!U69),MONTH('Model inputs'!U69),1)),DATE(2027,2,1)&gt;=DATE(YEAR('Model inputs'!U69),MONTH('Model inputs'!U69),1),IF(DATE(YEAR('Model inputs'!U69),MONTH('Model inputs'!U69),1)="","",DATE(2027,2,1)&gt;=DATE(YEAR('Model inputs'!U69),MONTH('Model inputs'!U69),1)))),IF('Model inputs'!U77="","",'Model inputs'!U77),0)</f>
        <v>0</v>
      </c>
      <c r="H55" s="9">
        <f>IF(IF(IF(ISERROR(DATE(2027,3,1)&gt;=DATE(YEAR('Model inputs'!U69),MONTH('Model inputs'!U69),1)),DATE(2027,3,1)&gt;=DATE(YEAR('Model inputs'!U69),MONTH('Model inputs'!U69),1),IF(DATE(YEAR('Model inputs'!U69),MONTH('Model inputs'!U69),1)="","",DATE(2027,3,1)&gt;=DATE(YEAR('Model inputs'!U69),MONTH('Model inputs'!U69),1)))="",FALSE,IF(ISERROR(DATE(2027,3,1)&gt;=DATE(YEAR('Model inputs'!U69),MONTH('Model inputs'!U69),1)),DATE(2027,3,1)&gt;=DATE(YEAR('Model inputs'!U69),MONTH('Model inputs'!U69),1),IF(DATE(YEAR('Model inputs'!U69),MONTH('Model inputs'!U69),1)="","",DATE(2027,3,1)&gt;=DATE(YEAR('Model inputs'!U69),MONTH('Model inputs'!U69),1)))),IF('Model inputs'!U77="","",'Model inputs'!U77),0)</f>
        <v>0</v>
      </c>
      <c r="I55" s="9">
        <f>IF(IF(IF(ISERROR(DATE(2027,4,1)&gt;=DATE(YEAR('Model inputs'!U69),MONTH('Model inputs'!U69),1)),DATE(2027,4,1)&gt;=DATE(YEAR('Model inputs'!U69),MONTH('Model inputs'!U69),1),IF(DATE(YEAR('Model inputs'!U69),MONTH('Model inputs'!U69),1)="","",DATE(2027,4,1)&gt;=DATE(YEAR('Model inputs'!U69),MONTH('Model inputs'!U69),1)))="",FALSE,IF(ISERROR(DATE(2027,4,1)&gt;=DATE(YEAR('Model inputs'!U69),MONTH('Model inputs'!U69),1)),DATE(2027,4,1)&gt;=DATE(YEAR('Model inputs'!U69),MONTH('Model inputs'!U69),1),IF(DATE(YEAR('Model inputs'!U69),MONTH('Model inputs'!U69),1)="","",DATE(2027,4,1)&gt;=DATE(YEAR('Model inputs'!U69),MONTH('Model inputs'!U69),1)))),IF('Model inputs'!U77="","",'Model inputs'!U77),0)</f>
        <v>2000</v>
      </c>
      <c r="J55" s="9">
        <f>IF(IF(IF(ISERROR(DATE(2027,5,1)&gt;=DATE(YEAR('Model inputs'!U69),MONTH('Model inputs'!U69),1)),DATE(2027,5,1)&gt;=DATE(YEAR('Model inputs'!U69),MONTH('Model inputs'!U69),1),IF(DATE(YEAR('Model inputs'!U69),MONTH('Model inputs'!U69),1)="","",DATE(2027,5,1)&gt;=DATE(YEAR('Model inputs'!U69),MONTH('Model inputs'!U69),1)))="",FALSE,IF(ISERROR(DATE(2027,5,1)&gt;=DATE(YEAR('Model inputs'!U69),MONTH('Model inputs'!U69),1)),DATE(2027,5,1)&gt;=DATE(YEAR('Model inputs'!U69),MONTH('Model inputs'!U69),1),IF(DATE(YEAR('Model inputs'!U69),MONTH('Model inputs'!U69),1)="","",DATE(2027,5,1)&gt;=DATE(YEAR('Model inputs'!U69),MONTH('Model inputs'!U69),1)))),IF('Model inputs'!U77="","",'Model inputs'!U77),0)</f>
        <v>2000</v>
      </c>
      <c r="K55" s="9">
        <f>IF(IF(IF(ISERROR(DATE(2027,6,1)&gt;=DATE(YEAR('Model inputs'!U69),MONTH('Model inputs'!U69),1)),DATE(2027,6,1)&gt;=DATE(YEAR('Model inputs'!U69),MONTH('Model inputs'!U69),1),IF(DATE(YEAR('Model inputs'!U69),MONTH('Model inputs'!U69),1)="","",DATE(2027,6,1)&gt;=DATE(YEAR('Model inputs'!U69),MONTH('Model inputs'!U69),1)))="",FALSE,IF(ISERROR(DATE(2027,6,1)&gt;=DATE(YEAR('Model inputs'!U69),MONTH('Model inputs'!U69),1)),DATE(2027,6,1)&gt;=DATE(YEAR('Model inputs'!U69),MONTH('Model inputs'!U69),1),IF(DATE(YEAR('Model inputs'!U69),MONTH('Model inputs'!U69),1)="","",DATE(2027,6,1)&gt;=DATE(YEAR('Model inputs'!U69),MONTH('Model inputs'!U69),1)))),IF('Model inputs'!U77="","",'Model inputs'!U77),0)</f>
        <v>2000</v>
      </c>
      <c r="L55" s="9">
        <f>IF(IF(IF(ISERROR(DATE(2027,7,1)&gt;=DATE(YEAR('Model inputs'!U69),MONTH('Model inputs'!U69),1)),DATE(2027,7,1)&gt;=DATE(YEAR('Model inputs'!U69),MONTH('Model inputs'!U69),1),IF(DATE(YEAR('Model inputs'!U69),MONTH('Model inputs'!U69),1)="","",DATE(2027,7,1)&gt;=DATE(YEAR('Model inputs'!U69),MONTH('Model inputs'!U69),1)))="",FALSE,IF(ISERROR(DATE(2027,7,1)&gt;=DATE(YEAR('Model inputs'!U69),MONTH('Model inputs'!U69),1)),DATE(2027,7,1)&gt;=DATE(YEAR('Model inputs'!U69),MONTH('Model inputs'!U69),1),IF(DATE(YEAR('Model inputs'!U69),MONTH('Model inputs'!U69),1)="","",DATE(2027,7,1)&gt;=DATE(YEAR('Model inputs'!U69),MONTH('Model inputs'!U69),1)))),IF('Model inputs'!U77="","",'Model inputs'!U77),0)</f>
        <v>2000</v>
      </c>
      <c r="M55" s="9">
        <f>IF(IF(IF(ISERROR(DATE(2027,8,1)&gt;=DATE(YEAR('Model inputs'!U69),MONTH('Model inputs'!U69),1)),DATE(2027,8,1)&gt;=DATE(YEAR('Model inputs'!U69),MONTH('Model inputs'!U69),1),IF(DATE(YEAR('Model inputs'!U69),MONTH('Model inputs'!U69),1)="","",DATE(2027,8,1)&gt;=DATE(YEAR('Model inputs'!U69),MONTH('Model inputs'!U69),1)))="",FALSE,IF(ISERROR(DATE(2027,8,1)&gt;=DATE(YEAR('Model inputs'!U69),MONTH('Model inputs'!U69),1)),DATE(2027,8,1)&gt;=DATE(YEAR('Model inputs'!U69),MONTH('Model inputs'!U69),1),IF(DATE(YEAR('Model inputs'!U69),MONTH('Model inputs'!U69),1)="","",DATE(2027,8,1)&gt;=DATE(YEAR('Model inputs'!U69),MONTH('Model inputs'!U69),1)))),IF('Model inputs'!U77="","",'Model inputs'!U77),0)</f>
        <v>2000</v>
      </c>
      <c r="N55" s="9">
        <f>IF(IF(IF(ISERROR(DATE(2027,9,1)&gt;=DATE(YEAR('Model inputs'!U69),MONTH('Model inputs'!U69),1)),DATE(2027,9,1)&gt;=DATE(YEAR('Model inputs'!U69),MONTH('Model inputs'!U69),1),IF(DATE(YEAR('Model inputs'!U69),MONTH('Model inputs'!U69),1)="","",DATE(2027,9,1)&gt;=DATE(YEAR('Model inputs'!U69),MONTH('Model inputs'!U69),1)))="",FALSE,IF(ISERROR(DATE(2027,9,1)&gt;=DATE(YEAR('Model inputs'!U69),MONTH('Model inputs'!U69),1)),DATE(2027,9,1)&gt;=DATE(YEAR('Model inputs'!U69),MONTH('Model inputs'!U69),1),IF(DATE(YEAR('Model inputs'!U69),MONTH('Model inputs'!U69),1)="","",DATE(2027,9,1)&gt;=DATE(YEAR('Model inputs'!U69),MONTH('Model inputs'!U69),1)))),IF('Model inputs'!U77="","",'Model inputs'!U77),0)</f>
        <v>2000</v>
      </c>
      <c r="O55" s="9">
        <f>IF(IF(IF(ISERROR(DATE(2027,10,1)&gt;=DATE(YEAR('Model inputs'!U69),MONTH('Model inputs'!U69),1)),DATE(2027,10,1)&gt;=DATE(YEAR('Model inputs'!U69),MONTH('Model inputs'!U69),1),IF(DATE(YEAR('Model inputs'!U69),MONTH('Model inputs'!U69),1)="","",DATE(2027,10,1)&gt;=DATE(YEAR('Model inputs'!U69),MONTH('Model inputs'!U69),1)))="",FALSE,IF(ISERROR(DATE(2027,10,1)&gt;=DATE(YEAR('Model inputs'!U69),MONTH('Model inputs'!U69),1)),DATE(2027,10,1)&gt;=DATE(YEAR('Model inputs'!U69),MONTH('Model inputs'!U69),1),IF(DATE(YEAR('Model inputs'!U69),MONTH('Model inputs'!U69),1)="","",DATE(2027,10,1)&gt;=DATE(YEAR('Model inputs'!U69),MONTH('Model inputs'!U69),1)))),IF('Model inputs'!U77="","",'Model inputs'!U77),0)</f>
        <v>2000</v>
      </c>
      <c r="P55" s="9">
        <f>IF(IF(IF(ISERROR(DATE(2027,11,1)&gt;=DATE(YEAR('Model inputs'!U69),MONTH('Model inputs'!U69),1)),DATE(2027,11,1)&gt;=DATE(YEAR('Model inputs'!U69),MONTH('Model inputs'!U69),1),IF(DATE(YEAR('Model inputs'!U69),MONTH('Model inputs'!U69),1)="","",DATE(2027,11,1)&gt;=DATE(YEAR('Model inputs'!U69),MONTH('Model inputs'!U69),1)))="",FALSE,IF(ISERROR(DATE(2027,11,1)&gt;=DATE(YEAR('Model inputs'!U69),MONTH('Model inputs'!U69),1)),DATE(2027,11,1)&gt;=DATE(YEAR('Model inputs'!U69),MONTH('Model inputs'!U69),1),IF(DATE(YEAR('Model inputs'!U69),MONTH('Model inputs'!U69),1)="","",DATE(2027,11,1)&gt;=DATE(YEAR('Model inputs'!U69),MONTH('Model inputs'!U69),1)))),IF('Model inputs'!U77="","",'Model inputs'!U77),0)</f>
        <v>2000</v>
      </c>
      <c r="Q55" s="9">
        <f>IF(IF(IF(ISERROR(DATE(2027,12,1)&gt;=DATE(YEAR('Model inputs'!U69),MONTH('Model inputs'!U69),1)),DATE(2027,12,1)&gt;=DATE(YEAR('Model inputs'!U69),MONTH('Model inputs'!U69),1),IF(DATE(YEAR('Model inputs'!U69),MONTH('Model inputs'!U69),1)="","",DATE(2027,12,1)&gt;=DATE(YEAR('Model inputs'!U69),MONTH('Model inputs'!U69),1)))="",FALSE,IF(ISERROR(DATE(2027,12,1)&gt;=DATE(YEAR('Model inputs'!U69),MONTH('Model inputs'!U69),1)),DATE(2027,12,1)&gt;=DATE(YEAR('Model inputs'!U69),MONTH('Model inputs'!U69),1),IF(DATE(YEAR('Model inputs'!U69),MONTH('Model inputs'!U69),1)="","",DATE(2027,12,1)&gt;=DATE(YEAR('Model inputs'!U69),MONTH('Model inputs'!U69),1)))),IF('Model inputs'!U77="","",'Model inputs'!U77),0)</f>
        <v>2000</v>
      </c>
      <c r="R55" s="9">
        <f>IF(IF(IF(ISERROR(DATE(2028,1,1)&gt;=DATE(YEAR('Model inputs'!U69),MONTH('Model inputs'!U69),1)),DATE(2028,1,1)&gt;=DATE(YEAR('Model inputs'!U69),MONTH('Model inputs'!U69),1),IF(DATE(YEAR('Model inputs'!U69),MONTH('Model inputs'!U69),1)="","",DATE(2028,1,1)&gt;=DATE(YEAR('Model inputs'!U69),MONTH('Model inputs'!U69),1)))="",FALSE,IF(ISERROR(DATE(2028,1,1)&gt;=DATE(YEAR('Model inputs'!U69),MONTH('Model inputs'!U69),1)),DATE(2028,1,1)&gt;=DATE(YEAR('Model inputs'!U69),MONTH('Model inputs'!U69),1),IF(DATE(YEAR('Model inputs'!U69),MONTH('Model inputs'!U69),1)="","",DATE(2028,1,1)&gt;=DATE(YEAR('Model inputs'!U69),MONTH('Model inputs'!U69),1)))),IF('Model inputs'!U77="","",'Model inputs'!U77),0)</f>
        <v>2000</v>
      </c>
      <c r="S55" s="9">
        <f>IF(IF(IF(ISERROR(DATE(2028,2,1)&gt;=DATE(YEAR('Model inputs'!U69),MONTH('Model inputs'!U69),1)),DATE(2028,2,1)&gt;=DATE(YEAR('Model inputs'!U69),MONTH('Model inputs'!U69),1),IF(DATE(YEAR('Model inputs'!U69),MONTH('Model inputs'!U69),1)="","",DATE(2028,2,1)&gt;=DATE(YEAR('Model inputs'!U69),MONTH('Model inputs'!U69),1)))="",FALSE,IF(ISERROR(DATE(2028,2,1)&gt;=DATE(YEAR('Model inputs'!U69),MONTH('Model inputs'!U69),1)),DATE(2028,2,1)&gt;=DATE(YEAR('Model inputs'!U69),MONTH('Model inputs'!U69),1),IF(DATE(YEAR('Model inputs'!U69),MONTH('Model inputs'!U69),1)="","",DATE(2028,2,1)&gt;=DATE(YEAR('Model inputs'!U69),MONTH('Model inputs'!U69),1)))),IF('Model inputs'!U77="","",'Model inputs'!U77),0)</f>
        <v>2000</v>
      </c>
      <c r="T55" s="9">
        <f>IF(IF(IF(ISERROR(DATE(2028,3,1)&gt;=DATE(YEAR('Model inputs'!U69),MONTH('Model inputs'!U69),1)),DATE(2028,3,1)&gt;=DATE(YEAR('Model inputs'!U69),MONTH('Model inputs'!U69),1),IF(DATE(YEAR('Model inputs'!U69),MONTH('Model inputs'!U69),1)="","",DATE(2028,3,1)&gt;=DATE(YEAR('Model inputs'!U69),MONTH('Model inputs'!U69),1)))="",FALSE,IF(ISERROR(DATE(2028,3,1)&gt;=DATE(YEAR('Model inputs'!U69),MONTH('Model inputs'!U69),1)),DATE(2028,3,1)&gt;=DATE(YEAR('Model inputs'!U69),MONTH('Model inputs'!U69),1),IF(DATE(YEAR('Model inputs'!U69),MONTH('Model inputs'!U69),1)="","",DATE(2028,3,1)&gt;=DATE(YEAR('Model inputs'!U69),MONTH('Model inputs'!U69),1)))),IF('Model inputs'!U77="","",'Model inputs'!U77),0)</f>
        <v>2000</v>
      </c>
    </row>
    <row r="56" outlineLevel="1">
      <c r="A56" t="inlineStr" s="17">
        <is>
          <t xml:space="preserve">Founder payroll &gt; Placeholder founder 4</t>
        </is>
      </c>
      <c r="B56" s="9">
        <f>'Model inputs'!B18</f>
        <v>0</v>
      </c>
      <c r="C56" s="9">
        <f>IF(IF(IF(ISERROR(DATE(2026,10,1)&gt;=DATE(YEAR('Model inputs'!U70),MONTH('Model inputs'!U70),1)),DATE(2026,10,1)&gt;=DATE(YEAR('Model inputs'!U70),MONTH('Model inputs'!U70),1),IF(DATE(YEAR('Model inputs'!U70),MONTH('Model inputs'!U70),1)="","",DATE(2026,10,1)&gt;=DATE(YEAR('Model inputs'!U70),MONTH('Model inputs'!U70),1)))="",FALSE,IF(ISERROR(DATE(2026,10,1)&gt;=DATE(YEAR('Model inputs'!U70),MONTH('Model inputs'!U70),1)),DATE(2026,10,1)&gt;=DATE(YEAR('Model inputs'!U70),MONTH('Model inputs'!U70),1),IF(DATE(YEAR('Model inputs'!U70),MONTH('Model inputs'!U70),1)="","",DATE(2026,10,1)&gt;=DATE(YEAR('Model inputs'!U70),MONTH('Model inputs'!U70),1)))),IF('Model inputs'!U78="","",'Model inputs'!U78),0)</f>
        <v>0</v>
      </c>
      <c r="D56" s="9">
        <f>IF(IF(IF(ISERROR(DATE(2026,11,1)&gt;=DATE(YEAR('Model inputs'!U70),MONTH('Model inputs'!U70),1)),DATE(2026,11,1)&gt;=DATE(YEAR('Model inputs'!U70),MONTH('Model inputs'!U70),1),IF(DATE(YEAR('Model inputs'!U70),MONTH('Model inputs'!U70),1)="","",DATE(2026,11,1)&gt;=DATE(YEAR('Model inputs'!U70),MONTH('Model inputs'!U70),1)))="",FALSE,IF(ISERROR(DATE(2026,11,1)&gt;=DATE(YEAR('Model inputs'!U70),MONTH('Model inputs'!U70),1)),DATE(2026,11,1)&gt;=DATE(YEAR('Model inputs'!U70),MONTH('Model inputs'!U70),1),IF(DATE(YEAR('Model inputs'!U70),MONTH('Model inputs'!U70),1)="","",DATE(2026,11,1)&gt;=DATE(YEAR('Model inputs'!U70),MONTH('Model inputs'!U70),1)))),IF('Model inputs'!U78="","",'Model inputs'!U78),0)</f>
        <v>0</v>
      </c>
      <c r="E56" s="9">
        <f>IF(IF(IF(ISERROR(DATE(2026,12,1)&gt;=DATE(YEAR('Model inputs'!U70),MONTH('Model inputs'!U70),1)),DATE(2026,12,1)&gt;=DATE(YEAR('Model inputs'!U70),MONTH('Model inputs'!U70),1),IF(DATE(YEAR('Model inputs'!U70),MONTH('Model inputs'!U70),1)="","",DATE(2026,12,1)&gt;=DATE(YEAR('Model inputs'!U70),MONTH('Model inputs'!U70),1)))="",FALSE,IF(ISERROR(DATE(2026,12,1)&gt;=DATE(YEAR('Model inputs'!U70),MONTH('Model inputs'!U70),1)),DATE(2026,12,1)&gt;=DATE(YEAR('Model inputs'!U70),MONTH('Model inputs'!U70),1),IF(DATE(YEAR('Model inputs'!U70),MONTH('Model inputs'!U70),1)="","",DATE(2026,12,1)&gt;=DATE(YEAR('Model inputs'!U70),MONTH('Model inputs'!U70),1)))),IF('Model inputs'!U78="","",'Model inputs'!U78),0)</f>
        <v>0</v>
      </c>
      <c r="F56" s="9">
        <f>IF(IF(IF(ISERROR(DATE(2027,1,1)&gt;=DATE(YEAR('Model inputs'!U70),MONTH('Model inputs'!U70),1)),DATE(2027,1,1)&gt;=DATE(YEAR('Model inputs'!U70),MONTH('Model inputs'!U70),1),IF(DATE(YEAR('Model inputs'!U70),MONTH('Model inputs'!U70),1)="","",DATE(2027,1,1)&gt;=DATE(YEAR('Model inputs'!U70),MONTH('Model inputs'!U70),1)))="",FALSE,IF(ISERROR(DATE(2027,1,1)&gt;=DATE(YEAR('Model inputs'!U70),MONTH('Model inputs'!U70),1)),DATE(2027,1,1)&gt;=DATE(YEAR('Model inputs'!U70),MONTH('Model inputs'!U70),1),IF(DATE(YEAR('Model inputs'!U70),MONTH('Model inputs'!U70),1)="","",DATE(2027,1,1)&gt;=DATE(YEAR('Model inputs'!U70),MONTH('Model inputs'!U70),1)))),IF('Model inputs'!U78="","",'Model inputs'!U78),0)</f>
        <v>0</v>
      </c>
      <c r="G56" s="9">
        <f>IF(IF(IF(ISERROR(DATE(2027,2,1)&gt;=DATE(YEAR('Model inputs'!U70),MONTH('Model inputs'!U70),1)),DATE(2027,2,1)&gt;=DATE(YEAR('Model inputs'!U70),MONTH('Model inputs'!U70),1),IF(DATE(YEAR('Model inputs'!U70),MONTH('Model inputs'!U70),1)="","",DATE(2027,2,1)&gt;=DATE(YEAR('Model inputs'!U70),MONTH('Model inputs'!U70),1)))="",FALSE,IF(ISERROR(DATE(2027,2,1)&gt;=DATE(YEAR('Model inputs'!U70),MONTH('Model inputs'!U70),1)),DATE(2027,2,1)&gt;=DATE(YEAR('Model inputs'!U70),MONTH('Model inputs'!U70),1),IF(DATE(YEAR('Model inputs'!U70),MONTH('Model inputs'!U70),1)="","",DATE(2027,2,1)&gt;=DATE(YEAR('Model inputs'!U70),MONTH('Model inputs'!U70),1)))),IF('Model inputs'!U78="","",'Model inputs'!U78),0)</f>
        <v>0</v>
      </c>
      <c r="H56" s="9">
        <f>IF(IF(IF(ISERROR(DATE(2027,3,1)&gt;=DATE(YEAR('Model inputs'!U70),MONTH('Model inputs'!U70),1)),DATE(2027,3,1)&gt;=DATE(YEAR('Model inputs'!U70),MONTH('Model inputs'!U70),1),IF(DATE(YEAR('Model inputs'!U70),MONTH('Model inputs'!U70),1)="","",DATE(2027,3,1)&gt;=DATE(YEAR('Model inputs'!U70),MONTH('Model inputs'!U70),1)))="",FALSE,IF(ISERROR(DATE(2027,3,1)&gt;=DATE(YEAR('Model inputs'!U70),MONTH('Model inputs'!U70),1)),DATE(2027,3,1)&gt;=DATE(YEAR('Model inputs'!U70),MONTH('Model inputs'!U70),1),IF(DATE(YEAR('Model inputs'!U70),MONTH('Model inputs'!U70),1)="","",DATE(2027,3,1)&gt;=DATE(YEAR('Model inputs'!U70),MONTH('Model inputs'!U70),1)))),IF('Model inputs'!U78="","",'Model inputs'!U78),0)</f>
        <v>0</v>
      </c>
      <c r="I56" s="9">
        <f>IF(IF(IF(ISERROR(DATE(2027,4,1)&gt;=DATE(YEAR('Model inputs'!U70),MONTH('Model inputs'!U70),1)),DATE(2027,4,1)&gt;=DATE(YEAR('Model inputs'!U70),MONTH('Model inputs'!U70),1),IF(DATE(YEAR('Model inputs'!U70),MONTH('Model inputs'!U70),1)="","",DATE(2027,4,1)&gt;=DATE(YEAR('Model inputs'!U70),MONTH('Model inputs'!U70),1)))="",FALSE,IF(ISERROR(DATE(2027,4,1)&gt;=DATE(YEAR('Model inputs'!U70),MONTH('Model inputs'!U70),1)),DATE(2027,4,1)&gt;=DATE(YEAR('Model inputs'!U70),MONTH('Model inputs'!U70),1),IF(DATE(YEAR('Model inputs'!U70),MONTH('Model inputs'!U70),1)="","",DATE(2027,4,1)&gt;=DATE(YEAR('Model inputs'!U70),MONTH('Model inputs'!U70),1)))),IF('Model inputs'!U78="","",'Model inputs'!U78),0)</f>
        <v>2000</v>
      </c>
      <c r="J56" s="9">
        <f>IF(IF(IF(ISERROR(DATE(2027,5,1)&gt;=DATE(YEAR('Model inputs'!U70),MONTH('Model inputs'!U70),1)),DATE(2027,5,1)&gt;=DATE(YEAR('Model inputs'!U70),MONTH('Model inputs'!U70),1),IF(DATE(YEAR('Model inputs'!U70),MONTH('Model inputs'!U70),1)="","",DATE(2027,5,1)&gt;=DATE(YEAR('Model inputs'!U70),MONTH('Model inputs'!U70),1)))="",FALSE,IF(ISERROR(DATE(2027,5,1)&gt;=DATE(YEAR('Model inputs'!U70),MONTH('Model inputs'!U70),1)),DATE(2027,5,1)&gt;=DATE(YEAR('Model inputs'!U70),MONTH('Model inputs'!U70),1),IF(DATE(YEAR('Model inputs'!U70),MONTH('Model inputs'!U70),1)="","",DATE(2027,5,1)&gt;=DATE(YEAR('Model inputs'!U70),MONTH('Model inputs'!U70),1)))),IF('Model inputs'!U78="","",'Model inputs'!U78),0)</f>
        <v>2000</v>
      </c>
      <c r="K56" s="9">
        <f>IF(IF(IF(ISERROR(DATE(2027,6,1)&gt;=DATE(YEAR('Model inputs'!U70),MONTH('Model inputs'!U70),1)),DATE(2027,6,1)&gt;=DATE(YEAR('Model inputs'!U70),MONTH('Model inputs'!U70),1),IF(DATE(YEAR('Model inputs'!U70),MONTH('Model inputs'!U70),1)="","",DATE(2027,6,1)&gt;=DATE(YEAR('Model inputs'!U70),MONTH('Model inputs'!U70),1)))="",FALSE,IF(ISERROR(DATE(2027,6,1)&gt;=DATE(YEAR('Model inputs'!U70),MONTH('Model inputs'!U70),1)),DATE(2027,6,1)&gt;=DATE(YEAR('Model inputs'!U70),MONTH('Model inputs'!U70),1),IF(DATE(YEAR('Model inputs'!U70),MONTH('Model inputs'!U70),1)="","",DATE(2027,6,1)&gt;=DATE(YEAR('Model inputs'!U70),MONTH('Model inputs'!U70),1)))),IF('Model inputs'!U78="","",'Model inputs'!U78),0)</f>
        <v>2000</v>
      </c>
      <c r="L56" s="9">
        <f>IF(IF(IF(ISERROR(DATE(2027,7,1)&gt;=DATE(YEAR('Model inputs'!U70),MONTH('Model inputs'!U70),1)),DATE(2027,7,1)&gt;=DATE(YEAR('Model inputs'!U70),MONTH('Model inputs'!U70),1),IF(DATE(YEAR('Model inputs'!U70),MONTH('Model inputs'!U70),1)="","",DATE(2027,7,1)&gt;=DATE(YEAR('Model inputs'!U70),MONTH('Model inputs'!U70),1)))="",FALSE,IF(ISERROR(DATE(2027,7,1)&gt;=DATE(YEAR('Model inputs'!U70),MONTH('Model inputs'!U70),1)),DATE(2027,7,1)&gt;=DATE(YEAR('Model inputs'!U70),MONTH('Model inputs'!U70),1),IF(DATE(YEAR('Model inputs'!U70),MONTH('Model inputs'!U70),1)="","",DATE(2027,7,1)&gt;=DATE(YEAR('Model inputs'!U70),MONTH('Model inputs'!U70),1)))),IF('Model inputs'!U78="","",'Model inputs'!U78),0)</f>
        <v>2000</v>
      </c>
      <c r="M56" s="9">
        <f>IF(IF(IF(ISERROR(DATE(2027,8,1)&gt;=DATE(YEAR('Model inputs'!U70),MONTH('Model inputs'!U70),1)),DATE(2027,8,1)&gt;=DATE(YEAR('Model inputs'!U70),MONTH('Model inputs'!U70),1),IF(DATE(YEAR('Model inputs'!U70),MONTH('Model inputs'!U70),1)="","",DATE(2027,8,1)&gt;=DATE(YEAR('Model inputs'!U70),MONTH('Model inputs'!U70),1)))="",FALSE,IF(ISERROR(DATE(2027,8,1)&gt;=DATE(YEAR('Model inputs'!U70),MONTH('Model inputs'!U70),1)),DATE(2027,8,1)&gt;=DATE(YEAR('Model inputs'!U70),MONTH('Model inputs'!U70),1),IF(DATE(YEAR('Model inputs'!U70),MONTH('Model inputs'!U70),1)="","",DATE(2027,8,1)&gt;=DATE(YEAR('Model inputs'!U70),MONTH('Model inputs'!U70),1)))),IF('Model inputs'!U78="","",'Model inputs'!U78),0)</f>
        <v>2000</v>
      </c>
      <c r="N56" s="9">
        <f>IF(IF(IF(ISERROR(DATE(2027,9,1)&gt;=DATE(YEAR('Model inputs'!U70),MONTH('Model inputs'!U70),1)),DATE(2027,9,1)&gt;=DATE(YEAR('Model inputs'!U70),MONTH('Model inputs'!U70),1),IF(DATE(YEAR('Model inputs'!U70),MONTH('Model inputs'!U70),1)="","",DATE(2027,9,1)&gt;=DATE(YEAR('Model inputs'!U70),MONTH('Model inputs'!U70),1)))="",FALSE,IF(ISERROR(DATE(2027,9,1)&gt;=DATE(YEAR('Model inputs'!U70),MONTH('Model inputs'!U70),1)),DATE(2027,9,1)&gt;=DATE(YEAR('Model inputs'!U70),MONTH('Model inputs'!U70),1),IF(DATE(YEAR('Model inputs'!U70),MONTH('Model inputs'!U70),1)="","",DATE(2027,9,1)&gt;=DATE(YEAR('Model inputs'!U70),MONTH('Model inputs'!U70),1)))),IF('Model inputs'!U78="","",'Model inputs'!U78),0)</f>
        <v>2000</v>
      </c>
      <c r="O56" s="9">
        <f>IF(IF(IF(ISERROR(DATE(2027,10,1)&gt;=DATE(YEAR('Model inputs'!U70),MONTH('Model inputs'!U70),1)),DATE(2027,10,1)&gt;=DATE(YEAR('Model inputs'!U70),MONTH('Model inputs'!U70),1),IF(DATE(YEAR('Model inputs'!U70),MONTH('Model inputs'!U70),1)="","",DATE(2027,10,1)&gt;=DATE(YEAR('Model inputs'!U70),MONTH('Model inputs'!U70),1)))="",FALSE,IF(ISERROR(DATE(2027,10,1)&gt;=DATE(YEAR('Model inputs'!U70),MONTH('Model inputs'!U70),1)),DATE(2027,10,1)&gt;=DATE(YEAR('Model inputs'!U70),MONTH('Model inputs'!U70),1),IF(DATE(YEAR('Model inputs'!U70),MONTH('Model inputs'!U70),1)="","",DATE(2027,10,1)&gt;=DATE(YEAR('Model inputs'!U70),MONTH('Model inputs'!U70),1)))),IF('Model inputs'!U78="","",'Model inputs'!U78),0)</f>
        <v>2000</v>
      </c>
      <c r="P56" s="9">
        <f>IF(IF(IF(ISERROR(DATE(2027,11,1)&gt;=DATE(YEAR('Model inputs'!U70),MONTH('Model inputs'!U70),1)),DATE(2027,11,1)&gt;=DATE(YEAR('Model inputs'!U70),MONTH('Model inputs'!U70),1),IF(DATE(YEAR('Model inputs'!U70),MONTH('Model inputs'!U70),1)="","",DATE(2027,11,1)&gt;=DATE(YEAR('Model inputs'!U70),MONTH('Model inputs'!U70),1)))="",FALSE,IF(ISERROR(DATE(2027,11,1)&gt;=DATE(YEAR('Model inputs'!U70),MONTH('Model inputs'!U70),1)),DATE(2027,11,1)&gt;=DATE(YEAR('Model inputs'!U70),MONTH('Model inputs'!U70),1),IF(DATE(YEAR('Model inputs'!U70),MONTH('Model inputs'!U70),1)="","",DATE(2027,11,1)&gt;=DATE(YEAR('Model inputs'!U70),MONTH('Model inputs'!U70),1)))),IF('Model inputs'!U78="","",'Model inputs'!U78),0)</f>
        <v>2000</v>
      </c>
      <c r="Q56" s="9">
        <f>IF(IF(IF(ISERROR(DATE(2027,12,1)&gt;=DATE(YEAR('Model inputs'!U70),MONTH('Model inputs'!U70),1)),DATE(2027,12,1)&gt;=DATE(YEAR('Model inputs'!U70),MONTH('Model inputs'!U70),1),IF(DATE(YEAR('Model inputs'!U70),MONTH('Model inputs'!U70),1)="","",DATE(2027,12,1)&gt;=DATE(YEAR('Model inputs'!U70),MONTH('Model inputs'!U70),1)))="",FALSE,IF(ISERROR(DATE(2027,12,1)&gt;=DATE(YEAR('Model inputs'!U70),MONTH('Model inputs'!U70),1)),DATE(2027,12,1)&gt;=DATE(YEAR('Model inputs'!U70),MONTH('Model inputs'!U70),1),IF(DATE(YEAR('Model inputs'!U70),MONTH('Model inputs'!U70),1)="","",DATE(2027,12,1)&gt;=DATE(YEAR('Model inputs'!U70),MONTH('Model inputs'!U70),1)))),IF('Model inputs'!U78="","",'Model inputs'!U78),0)</f>
        <v>2000</v>
      </c>
      <c r="R56" s="9">
        <f>IF(IF(IF(ISERROR(DATE(2028,1,1)&gt;=DATE(YEAR('Model inputs'!U70),MONTH('Model inputs'!U70),1)),DATE(2028,1,1)&gt;=DATE(YEAR('Model inputs'!U70),MONTH('Model inputs'!U70),1),IF(DATE(YEAR('Model inputs'!U70),MONTH('Model inputs'!U70),1)="","",DATE(2028,1,1)&gt;=DATE(YEAR('Model inputs'!U70),MONTH('Model inputs'!U70),1)))="",FALSE,IF(ISERROR(DATE(2028,1,1)&gt;=DATE(YEAR('Model inputs'!U70),MONTH('Model inputs'!U70),1)),DATE(2028,1,1)&gt;=DATE(YEAR('Model inputs'!U70),MONTH('Model inputs'!U70),1),IF(DATE(YEAR('Model inputs'!U70),MONTH('Model inputs'!U70),1)="","",DATE(2028,1,1)&gt;=DATE(YEAR('Model inputs'!U70),MONTH('Model inputs'!U70),1)))),IF('Model inputs'!U78="","",'Model inputs'!U78),0)</f>
        <v>2000</v>
      </c>
      <c r="S56" s="9">
        <f>IF(IF(IF(ISERROR(DATE(2028,2,1)&gt;=DATE(YEAR('Model inputs'!U70),MONTH('Model inputs'!U70),1)),DATE(2028,2,1)&gt;=DATE(YEAR('Model inputs'!U70),MONTH('Model inputs'!U70),1),IF(DATE(YEAR('Model inputs'!U70),MONTH('Model inputs'!U70),1)="","",DATE(2028,2,1)&gt;=DATE(YEAR('Model inputs'!U70),MONTH('Model inputs'!U70),1)))="",FALSE,IF(ISERROR(DATE(2028,2,1)&gt;=DATE(YEAR('Model inputs'!U70),MONTH('Model inputs'!U70),1)),DATE(2028,2,1)&gt;=DATE(YEAR('Model inputs'!U70),MONTH('Model inputs'!U70),1),IF(DATE(YEAR('Model inputs'!U70),MONTH('Model inputs'!U70),1)="","",DATE(2028,2,1)&gt;=DATE(YEAR('Model inputs'!U70),MONTH('Model inputs'!U70),1)))),IF('Model inputs'!U78="","",'Model inputs'!U78),0)</f>
        <v>2000</v>
      </c>
      <c r="T56" s="9">
        <f>IF(IF(IF(ISERROR(DATE(2028,3,1)&gt;=DATE(YEAR('Model inputs'!U70),MONTH('Model inputs'!U70),1)),DATE(2028,3,1)&gt;=DATE(YEAR('Model inputs'!U70),MONTH('Model inputs'!U70),1),IF(DATE(YEAR('Model inputs'!U70),MONTH('Model inputs'!U70),1)="","",DATE(2028,3,1)&gt;=DATE(YEAR('Model inputs'!U70),MONTH('Model inputs'!U70),1)))="",FALSE,IF(ISERROR(DATE(2028,3,1)&gt;=DATE(YEAR('Model inputs'!U70),MONTH('Model inputs'!U70),1)),DATE(2028,3,1)&gt;=DATE(YEAR('Model inputs'!U70),MONTH('Model inputs'!U70),1),IF(DATE(YEAR('Model inputs'!U70),MONTH('Model inputs'!U70),1)="","",DATE(2028,3,1)&gt;=DATE(YEAR('Model inputs'!U70),MONTH('Model inputs'!U70),1)))),IF('Model inputs'!U78="","",'Model inputs'!U78),0)</f>
        <v>2000</v>
      </c>
    </row>
    <row r="57">
      <c r="A57" t="inlineStr" s="15">
        <is>
          <t xml:space="preserve">Haiku task fee · Repair cost per round · 18-month forecast</t>
        </is>
      </c>
      <c r="U57" s="21">
        <f>0.04</f>
        <v>0.04</v>
      </c>
    </row>
    <row r="58">
      <c r="A58" t="inlineStr" s="15">
        <is>
          <t xml:space="preserve">Monthly revenue</t>
        </is>
      </c>
      <c r="B58" s="9">
        <v>0</v>
      </c>
      <c r="C58" s="9">
        <f>'Model inputs'!C33*'Model inputs'!U36</f>
        <v>2450</v>
      </c>
      <c r="D58" s="9">
        <f>'Model inputs'!D33*'Model inputs'!U36</f>
        <v>2695.0000000000005</v>
      </c>
      <c r="E58" s="9">
        <f>'Model inputs'!E33*'Model inputs'!U36</f>
        <v>2964.500000000001</v>
      </c>
      <c r="F58" s="9">
        <f>'Model inputs'!F33*'Model inputs'!U36</f>
        <v>3260.950000000001</v>
      </c>
      <c r="G58" s="9">
        <f>'Model inputs'!G33*'Model inputs'!U36</f>
        <v>3587.045000000002</v>
      </c>
      <c r="H58" s="9">
        <f>'Model inputs'!H33*'Model inputs'!U36</f>
        <v>3945.7495000000026</v>
      </c>
      <c r="I58" s="9">
        <f>'Model inputs'!I33*'Model inputs'!U36</f>
        <v>4340.324450000003</v>
      </c>
      <c r="J58" s="9">
        <f>'Model inputs'!J33*'Model inputs'!U36</f>
        <v>4774.3568950000035</v>
      </c>
      <c r="K58" s="9">
        <f>'Model inputs'!K33*'Model inputs'!U36</f>
        <v>5251.7925845000045</v>
      </c>
      <c r="L58" s="9">
        <f>'Model inputs'!L33*'Model inputs'!U36</f>
        <v>5776.971842950005</v>
      </c>
      <c r="M58" s="9">
        <f>'Model inputs'!M33*'Model inputs'!U36</f>
        <v>6354.669027245007</v>
      </c>
      <c r="N58" s="9">
        <f>'Model inputs'!N33*'Model inputs'!U36</f>
        <v>6990.135929969507</v>
      </c>
      <c r="O58" s="9">
        <f>'Model inputs'!O33*'Model inputs'!U36</f>
        <v>7689.149522966459</v>
      </c>
      <c r="P58" s="9">
        <f>'Model inputs'!P33*'Model inputs'!U36</f>
        <v>8458.064475263105</v>
      </c>
      <c r="Q58" s="9">
        <f>'Model inputs'!Q33*'Model inputs'!U36</f>
        <v>9303.870922789416</v>
      </c>
      <c r="R58" s="9">
        <f>'Model inputs'!R33*'Model inputs'!U36</f>
        <v>10234.258015068357</v>
      </c>
      <c r="S58" s="9">
        <f>'Model inputs'!S33*'Model inputs'!U36</f>
        <v>11257.683816575194</v>
      </c>
      <c r="T58" s="9">
        <f>'Model inputs'!T33*'Model inputs'!U36</f>
        <v>12383.452198232715</v>
      </c>
    </row>
    <row r="59">
      <c r="A59" t="inlineStr" s="15">
        <is>
          <t xml:space="preserve">Monthly team price · Revenue per team · Base · Base</t>
        </is>
      </c>
      <c r="U59" s="22">
        <f>49</f>
        <v>49</v>
      </c>
    </row>
    <row r="60">
      <c r="A60" t="inlineStr" s="15">
        <is>
          <t xml:space="preserve">Monthly team price · Revenue per team · Growth · Growth</t>
        </is>
      </c>
      <c r="U60" s="22">
        <f>'Model inputs'!U59</f>
        <v>49</v>
      </c>
    </row>
    <row r="61">
      <c r="A61" t="inlineStr" s="15">
        <is>
          <t xml:space="preserve">Opus task fee · Repair cost per round · 18-month forecast</t>
        </is>
      </c>
      <c r="U61" s="21">
        <f>0.045</f>
        <v>0.045</v>
      </c>
    </row>
    <row r="62">
      <c r="A62" t="inlineStr" s="15">
        <is>
          <t xml:space="preserve">Opus task share · Repair cost per round · 18-month forecast</t>
        </is>
      </c>
      <c r="U62" s="19">
        <f>0</f>
        <v>0</v>
      </c>
    </row>
    <row r="63">
      <c r="A63" t="inlineStr" s="15">
        <is>
          <t xml:space="preserve">Tasks per repair · Repair cost per round · 18-month forecast</t>
        </is>
      </c>
      <c r="U63" s="10">
        <f>28</f>
        <v>28</v>
      </c>
    </row>
    <row r="64">
      <c r="A64" t="inlineStr" s="15">
        <is>
          <t xml:space="preserve">Used included rounds · Rounds per team · 18-month forecast</t>
        </is>
      </c>
      <c r="U64" s="10">
        <f>MIN('Model inputs'!U72,'Model inputs'!U71)</f>
        <v>20</v>
      </c>
    </row>
    <row r="65">
      <c r="A65" t="inlineStr" s="15">
        <is>
          <t xml:space="preserve">Baseline repair cost estimate · Repair cost per round · 18-month forecast</t>
        </is>
      </c>
      <c r="U65" s="10">
        <f>1.5</f>
        <v>1.5</v>
      </c>
    </row>
    <row r="66">
      <c r="A66" t="inlineStr" s="15">
        <is>
          <t xml:space="preserve">Founder pay starts</t>
        </is>
      </c>
      <c r="U66" s="16">
        <v/>
      </c>
    </row>
    <row r="67" outlineLevel="1">
      <c r="A67" t="inlineStr" s="17">
        <is>
          <t xml:space="preserve">Founder pay starts &gt; Placeholder founder 1</t>
        </is>
      </c>
      <c r="U67" s="18">
        <f>DATE(2027,4,1)</f>
        <v>46478</v>
      </c>
    </row>
    <row r="68" outlineLevel="1">
      <c r="A68" t="inlineStr" s="17">
        <is>
          <t xml:space="preserve">Founder pay starts &gt; Placeholder founder 2</t>
        </is>
      </c>
      <c r="U68" s="18">
        <f>DATE(2027,4,1)</f>
        <v>46478</v>
      </c>
    </row>
    <row r="69" outlineLevel="1">
      <c r="A69" t="inlineStr" s="17">
        <is>
          <t xml:space="preserve">Founder pay starts &gt; Placeholder founder 3</t>
        </is>
      </c>
      <c r="U69" s="18">
        <f>DATE(2027,4,1)</f>
        <v>46478</v>
      </c>
    </row>
    <row r="70" outlineLevel="1">
      <c r="A70" t="inlineStr" s="17">
        <is>
          <t xml:space="preserve">Founder pay starts &gt; Placeholder founder 4</t>
        </is>
      </c>
      <c r="U70" s="18">
        <f>DATE(2027,4,1)</f>
        <v>46478</v>
      </c>
    </row>
    <row r="71">
      <c r="A71" t="inlineStr" s="15">
        <is>
          <t xml:space="preserve">Included repair rounds · Rounds per team · 18-month forecast</t>
        </is>
      </c>
      <c r="U71" s="10">
        <f>20</f>
        <v>20</v>
      </c>
    </row>
    <row r="72">
      <c r="A72" t="inlineStr" s="15">
        <is>
          <t xml:space="preserve">Included rounds used · Rounds per team · 18-month forecast</t>
        </is>
      </c>
      <c r="U72" s="10">
        <f>20</f>
        <v>20</v>
      </c>
    </row>
    <row r="73">
      <c r="A73" t="inlineStr" s="15">
        <is>
          <t xml:space="preserve">Infrastructure expense</t>
        </is>
      </c>
      <c r="B73" s="9">
        <v>0</v>
      </c>
      <c r="C73" s="9">
        <f>IF('Model inputs'!U80="","",'Model inputs'!U80)</f>
        <v>200</v>
      </c>
      <c r="D73" s="9">
        <f>IF('Model inputs'!U80="","",'Model inputs'!U80)</f>
        <v>200</v>
      </c>
      <c r="E73" s="9">
        <f>IF('Model inputs'!U80="","",'Model inputs'!U80)</f>
        <v>200</v>
      </c>
      <c r="F73" s="9">
        <f>IF('Model inputs'!U80="","",'Model inputs'!U80)</f>
        <v>200</v>
      </c>
      <c r="G73" s="9">
        <f>IF('Model inputs'!U80="","",'Model inputs'!U80)</f>
        <v>200</v>
      </c>
      <c r="H73" s="9">
        <f>IF('Model inputs'!U80="","",'Model inputs'!U80)</f>
        <v>200</v>
      </c>
      <c r="I73" s="9">
        <f>IF('Model inputs'!U80="","",'Model inputs'!U80)</f>
        <v>200</v>
      </c>
      <c r="J73" s="9">
        <f>IF('Model inputs'!U80="","",'Model inputs'!U80)</f>
        <v>200</v>
      </c>
      <c r="K73" s="9">
        <f>IF('Model inputs'!U80="","",'Model inputs'!U80)</f>
        <v>200</v>
      </c>
      <c r="L73" s="9">
        <f>IF('Model inputs'!U80="","",'Model inputs'!U80)</f>
        <v>200</v>
      </c>
      <c r="M73" s="9">
        <f>IF('Model inputs'!U80="","",'Model inputs'!U80)</f>
        <v>200</v>
      </c>
      <c r="N73" s="9">
        <f>IF('Model inputs'!U80="","",'Model inputs'!U80)</f>
        <v>200</v>
      </c>
      <c r="O73" s="9">
        <f>IF('Model inputs'!U80="","",'Model inputs'!U80)</f>
        <v>200</v>
      </c>
      <c r="P73" s="9">
        <f>IF('Model inputs'!U80="","",'Model inputs'!U80)</f>
        <v>200</v>
      </c>
      <c r="Q73" s="9">
        <f>IF('Model inputs'!U80="","",'Model inputs'!U80)</f>
        <v>200</v>
      </c>
      <c r="R73" s="9">
        <f>IF('Model inputs'!U80="","",'Model inputs'!U80)</f>
        <v>200</v>
      </c>
      <c r="S73" s="9">
        <f>IF('Model inputs'!U80="","",'Model inputs'!U80)</f>
        <v>200</v>
      </c>
      <c r="T73" s="9">
        <f>IF('Model inputs'!U80="","",'Model inputs'!U80)</f>
        <v>200</v>
      </c>
    </row>
    <row r="74">
      <c r="A74" t="inlineStr" s="15">
        <is>
          <t xml:space="preserve">Monthly founder pay</t>
        </is>
      </c>
      <c r="U74" s="11">
        <v>0</v>
      </c>
    </row>
    <row r="75" outlineLevel="1">
      <c r="A75" t="inlineStr" s="17">
        <is>
          <t xml:space="preserve">Monthly founder pay &gt; Placeholder founder 1</t>
        </is>
      </c>
      <c r="U75" s="9">
        <f>'Model inputs'!U23</f>
        <v>2000</v>
      </c>
    </row>
    <row r="76" outlineLevel="1">
      <c r="A76" t="inlineStr" s="17">
        <is>
          <t xml:space="preserve">Monthly founder pay &gt; Placeholder founder 2</t>
        </is>
      </c>
      <c r="U76" s="9">
        <f>'Model inputs'!U24</f>
        <v>2000</v>
      </c>
    </row>
    <row r="77" outlineLevel="1">
      <c r="A77" t="inlineStr" s="17">
        <is>
          <t xml:space="preserve">Monthly founder pay &gt; Placeholder founder 3</t>
        </is>
      </c>
      <c r="U77" s="9">
        <f>'Model inputs'!U25</f>
        <v>2000</v>
      </c>
    </row>
    <row r="78" outlineLevel="1">
      <c r="A78" t="inlineStr" s="17">
        <is>
          <t xml:space="preserve">Monthly founder pay &gt; Placeholder founder 4</t>
        </is>
      </c>
      <c r="U78" s="9">
        <f>'Model inputs'!U26</f>
        <v>2000</v>
      </c>
    </row>
    <row r="79">
      <c r="A79" t="inlineStr" s="15">
        <is>
          <t xml:space="preserve">Monthly model fees</t>
        </is>
      </c>
      <c r="B79" s="9">
        <v>0</v>
      </c>
      <c r="C79" s="9">
        <f>'Model inputs'!C82*'Model inputs'!U81</f>
        <v>1500</v>
      </c>
      <c r="D79" s="9">
        <f>'Model inputs'!D82*'Model inputs'!U81</f>
        <v>1650.0000000000005</v>
      </c>
      <c r="E79" s="9">
        <f>'Model inputs'!E82*'Model inputs'!U81</f>
        <v>1815.0000000000005</v>
      </c>
      <c r="F79" s="9">
        <f>'Model inputs'!F82*'Model inputs'!U81</f>
        <v>1996.5000000000007</v>
      </c>
      <c r="G79" s="9">
        <f>'Model inputs'!G82*'Model inputs'!U81</f>
        <v>2196.1500000000015</v>
      </c>
      <c r="H79" s="9">
        <f>'Model inputs'!H82*'Model inputs'!U81</f>
        <v>2415.7650000000017</v>
      </c>
      <c r="I79" s="9">
        <f>'Model inputs'!I82*'Model inputs'!U81</f>
        <v>2657.341500000002</v>
      </c>
      <c r="J79" s="9">
        <f>'Model inputs'!J82*'Model inputs'!U81</f>
        <v>2923.075650000002</v>
      </c>
      <c r="K79" s="9">
        <f>'Model inputs'!K82*'Model inputs'!U81</f>
        <v>3215.383215000003</v>
      </c>
      <c r="L79" s="9">
        <f>'Model inputs'!L82*'Model inputs'!U81</f>
        <v>3536.921536500003</v>
      </c>
      <c r="M79" s="9">
        <f>'Model inputs'!M82*'Model inputs'!U81</f>
        <v>3890.613690150004</v>
      </c>
      <c r="N79" s="9">
        <f>'Model inputs'!N82*'Model inputs'!U81</f>
        <v>4279.675059165005</v>
      </c>
      <c r="O79" s="9">
        <f>'Model inputs'!O82*'Model inputs'!U81</f>
        <v>4707.642565081505</v>
      </c>
      <c r="P79" s="9">
        <f>'Model inputs'!P82*'Model inputs'!U81</f>
        <v>5178.406821589656</v>
      </c>
      <c r="Q79" s="9">
        <f>'Model inputs'!Q82*'Model inputs'!U81</f>
        <v>5696.247503748622</v>
      </c>
      <c r="R79" s="9">
        <f>'Model inputs'!R82*'Model inputs'!U81</f>
        <v>6265.872254123484</v>
      </c>
      <c r="S79" s="9">
        <f>'Model inputs'!S82*'Model inputs'!U81</f>
        <v>6892.459479535834</v>
      </c>
      <c r="T79" s="9">
        <f>'Model inputs'!T82*'Model inputs'!U81</f>
        <v>7581.705427489418</v>
      </c>
    </row>
    <row r="80">
      <c r="A80" t="inlineStr" s="15">
        <is>
          <t xml:space="preserve">Fixed infrastructure · Infrastructure expense · Growth</t>
        </is>
      </c>
      <c r="U80" s="10">
        <f>'Model inputs'!U8</f>
        <v>200</v>
      </c>
    </row>
    <row r="81">
      <c r="A81" t="inlineStr" s="15">
        <is>
          <t xml:space="preserve">Repair cost per round · Monthly model fees · Growth</t>
        </is>
      </c>
      <c r="U81" s="9">
        <f>'Model inputs'!U83+'Model inputs'!U88*((1-'Model inputs'!U86)*'Model inputs'!U84+'Model inputs'!U86*'Model inputs'!U85)</f>
        <v>1.5</v>
      </c>
    </row>
    <row r="82">
      <c r="A82" t="inlineStr" s="15">
        <is>
          <t xml:space="preserve">Repair rounds delivered</t>
        </is>
      </c>
      <c r="B82" s="10">
        <v>0</v>
      </c>
      <c r="C82" s="10">
        <f>'Model inputs'!C33*'Model inputs'!U87</f>
        <v>1000</v>
      </c>
      <c r="D82" s="10">
        <f>'Model inputs'!D33*'Model inputs'!U87</f>
        <v>1100.0000000000002</v>
      </c>
      <c r="E82" s="10">
        <f>'Model inputs'!E33*'Model inputs'!U87</f>
        <v>1210.0000000000002</v>
      </c>
      <c r="F82" s="10">
        <f>'Model inputs'!F33*'Model inputs'!U87</f>
        <v>1331.0000000000005</v>
      </c>
      <c r="G82" s="10">
        <f>'Model inputs'!G33*'Model inputs'!U87</f>
        <v>1464.1000000000008</v>
      </c>
      <c r="H82" s="10">
        <f>'Model inputs'!H33*'Model inputs'!U87</f>
        <v>1610.5100000000011</v>
      </c>
      <c r="I82" s="10">
        <f>'Model inputs'!I33*'Model inputs'!U87</f>
        <v>1771.5610000000013</v>
      </c>
      <c r="J82" s="10">
        <f>'Model inputs'!J33*'Model inputs'!U87</f>
        <v>1948.7171000000014</v>
      </c>
      <c r="K82" s="10">
        <f>'Model inputs'!K33*'Model inputs'!U87</f>
        <v>2143.588810000002</v>
      </c>
      <c r="L82" s="10">
        <f>'Model inputs'!L33*'Model inputs'!U87</f>
        <v>2357.947691000002</v>
      </c>
      <c r="M82" s="10">
        <f>'Model inputs'!M33*'Model inputs'!U87</f>
        <v>2593.7424601000025</v>
      </c>
      <c r="N82" s="10">
        <f>'Model inputs'!N33*'Model inputs'!U87</f>
        <v>2853.116706110003</v>
      </c>
      <c r="O82" s="10">
        <f>'Model inputs'!O33*'Model inputs'!U87</f>
        <v>3138.4283767210036</v>
      </c>
      <c r="P82" s="10">
        <f>'Model inputs'!P33*'Model inputs'!U87</f>
        <v>3452.271214393104</v>
      </c>
      <c r="Q82" s="10">
        <f>'Model inputs'!Q33*'Model inputs'!U87</f>
        <v>3797.498335832415</v>
      </c>
      <c r="R82" s="10">
        <f>'Model inputs'!R33*'Model inputs'!U87</f>
        <v>4177.248169415656</v>
      </c>
      <c r="S82" s="10">
        <f>'Model inputs'!S33*'Model inputs'!U87</f>
        <v>4594.972986357223</v>
      </c>
      <c r="T82" s="10">
        <f>'Model inputs'!T33*'Model inputs'!U87</f>
        <v>5054.470284992945</v>
      </c>
    </row>
    <row r="83">
      <c r="A83" t="inlineStr" s="15">
        <is>
          <t xml:space="preserve">Diagnosis cost per round · Repair cost per round · Monthly model fees · Growth · Growth</t>
        </is>
      </c>
      <c r="U83" s="10">
        <f>'Model inputs'!U89-'Model inputs'!U88*'Model inputs'!U84</f>
        <v>0.3799999999999999</v>
      </c>
    </row>
    <row r="84">
      <c r="A84" t="inlineStr" s="15">
        <is>
          <t xml:space="preserve">Haiku task fee · Repair cost per round · Monthly model fees · Growth · Growth</t>
        </is>
      </c>
      <c r="U84" s="21">
        <f>'Model inputs'!U57</f>
        <v>0.04</v>
      </c>
    </row>
    <row r="85">
      <c r="A85" t="inlineStr" s="15">
        <is>
          <t xml:space="preserve">Opus task fee · Repair cost per round · Monthly model fees · Growth · Growth</t>
        </is>
      </c>
      <c r="U85" s="21">
        <f>'Model inputs'!U61</f>
        <v>0.045</v>
      </c>
    </row>
    <row r="86">
      <c r="A86" t="inlineStr" s="15">
        <is>
          <t xml:space="preserve">Opus task share · Repair cost per round · Monthly model fees · Growth · Growth</t>
        </is>
      </c>
      <c r="U86" s="19">
        <f>'Model inputs'!U62</f>
        <v>0</v>
      </c>
    </row>
    <row r="87">
      <c r="A87" t="inlineStr" s="15">
        <is>
          <t xml:space="preserve">Rounds per team · Repair rounds delivered · Growth</t>
        </is>
      </c>
      <c r="U87" s="10">
        <f>'Model inputs'!U90+'Model inputs'!U51</f>
        <v>20</v>
      </c>
    </row>
    <row r="88">
      <c r="A88" t="inlineStr" s="15">
        <is>
          <t xml:space="preserve">Tasks per repair · Repair cost per round · Monthly model fees · Growth · Growth</t>
        </is>
      </c>
      <c r="U88" s="10">
        <f>'Model inputs'!U63</f>
        <v>28</v>
      </c>
    </row>
    <row r="89">
      <c r="A89" t="inlineStr" s="15">
        <is>
          <t xml:space="preserve">Baseline repair cost estimate · Repair cost per round · Monthly model fees · Growth · Growth</t>
        </is>
      </c>
      <c r="U89" s="10">
        <f>'Model inputs'!U65</f>
        <v>1.5</v>
      </c>
    </row>
    <row r="90">
      <c r="A90" t="inlineStr" s="15">
        <is>
          <t xml:space="preserve">Used included rounds · Rounds per team · Repair rounds delivered · Growth · Growth</t>
        </is>
      </c>
      <c r="U90" s="10">
        <f>MIN('Model inputs'!U92,'Model inputs'!U91)</f>
        <v>20</v>
      </c>
    </row>
    <row r="91">
      <c r="A91" t="inlineStr" s="15">
        <is>
          <t xml:space="preserve">Included repair rounds · Rounds per team · Repair rounds delivered · Growth · Growth</t>
        </is>
      </c>
      <c r="U91" s="10">
        <f>'Model inputs'!U71</f>
        <v>20</v>
      </c>
    </row>
    <row r="92">
      <c r="A92" t="inlineStr" s="15">
        <is>
          <t xml:space="preserve">Included rounds used · Rounds per team · Repair rounds delivered · Growth · Growth</t>
        </is>
      </c>
      <c r="U92" s="10">
        <f>'Model inputs'!U72</f>
        <v>20</v>
      </c>
    </row>
    <row r="94">
      <c r="A94" t="inlineStr" s="14">
        <is>
          <t xml:space="preserve">Dimensions</t>
        </is>
      </c>
    </row>
    <row r="95">
      <c r="A95" t="inlineStr" s="15">
        <is>
          <t xml:space="preserve">Founder</t>
        </is>
      </c>
      <c r="B95" t="inlineStr" s="23">
        <is>
          <t xml:space="preserve">Placeholder founder 1</t>
        </is>
      </c>
      <c r="C95" t="inlineStr" s="23">
        <is>
          <t xml:space="preserve">Placeholder founder 2</t>
        </is>
      </c>
      <c r="D95" t="inlineStr" s="23">
        <is>
          <t xml:space="preserve">Placeholder founder 3</t>
        </is>
      </c>
      <c r="E95" t="inlineStr" s="23">
        <is>
          <t xml:space="preserve">Placeholder founder 4</t>
        </is>
      </c>
    </row>
  </sheetData>
  <mergeCells count="2">
    <mergeCell ref="A1:U1"/>
    <mergeCell ref="A2:U2"/>
  </mergeCells>
</worksheet>
</file>